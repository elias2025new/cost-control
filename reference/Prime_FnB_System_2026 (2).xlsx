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YOB\OneDrive\Desktop\"/>
    </mc:Choice>
  </mc:AlternateContent>
  <bookViews>
    <workbookView xWindow="0" yWindow="0" windowWidth="16380" windowHeight="8196" tabRatio="500"/>
  </bookViews>
  <sheets>
    <sheet name="Executive Dashboard" sheetId="1" r:id="rId1"/>
    <sheet name="Overview" sheetId="2" r:id="rId2"/>
    <sheet name="Item Master" sheetId="3" r:id="rId3"/>
    <sheet name="Menu Master" sheetId="4" r:id="rId4"/>
    <sheet name="Recipe Master" sheetId="5" r:id="rId5"/>
    <sheet name="Sub-Recipe" sheetId="6" r:id="rId6"/>
    <sheet name="Purchase Register" sheetId="7" r:id="rId7"/>
    <sheet name="Store Receiving" sheetId="8" r:id="rId8"/>
    <sheet name="Store Inventory" sheetId="9" r:id="rId9"/>
    <sheet name="Store Issue" sheetId="10" r:id="rId10"/>
    <sheet name="Kitchen &amp; Bar Receiving" sheetId="11" r:id="rId11"/>
    <sheet name="Daily Inventory" sheetId="12" r:id="rId12"/>
    <sheet name="Semi-Finished Inventory" sheetId="13" r:id="rId13"/>
    <sheet name="Wastage" sheetId="14" r:id="rId14"/>
    <sheet name="Daily Void" sheetId="15" r:id="rId15"/>
    <sheet name="Complementary" sheetId="16" r:id="rId16"/>
    <sheet name="Daily Staff Meal" sheetId="17" r:id="rId17"/>
    <sheet name="Daily Sales" sheetId="18" r:id="rId18"/>
    <sheet name="Theoretical Consumption" sheetId="19" r:id="rId19"/>
    <sheet name="Inventory Variance" sheetId="20" r:id="rId20"/>
    <sheet name="Daily Flash Cost" sheetId="21" r:id="rId21"/>
    <sheet name="Menu Engineering" sheetId="22" r:id="rId22"/>
    <sheet name="Monthly Reconciliation" sheetId="23" r:id="rId23"/>
  </sheet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G5" i="19" l="1"/>
  <c r="M10" i="6"/>
  <c r="I4" i="5"/>
  <c r="H4" i="5"/>
  <c r="J4" i="5"/>
  <c r="H5" i="5"/>
  <c r="H6" i="5"/>
  <c r="H7" i="5"/>
  <c r="H8" i="5"/>
  <c r="H9" i="5"/>
  <c r="H10" i="5"/>
  <c r="H11" i="5"/>
  <c r="L10" i="6"/>
  <c r="E29" i="22"/>
  <c r="C29" i="22"/>
  <c r="B29" i="22"/>
  <c r="A29" i="22"/>
  <c r="E28" i="22"/>
  <c r="C28" i="22"/>
  <c r="B28" i="22"/>
  <c r="A28" i="22"/>
  <c r="E27" i="22"/>
  <c r="C27" i="22"/>
  <c r="B27" i="22"/>
  <c r="A27" i="22"/>
  <c r="E26" i="22"/>
  <c r="C26" i="22"/>
  <c r="B26" i="22"/>
  <c r="A26" i="22"/>
  <c r="E25" i="22"/>
  <c r="C25" i="22"/>
  <c r="B25" i="22"/>
  <c r="A25" i="22"/>
  <c r="E24" i="22"/>
  <c r="C24" i="22"/>
  <c r="B24" i="22"/>
  <c r="A24" i="22"/>
  <c r="E23" i="22"/>
  <c r="C23" i="22"/>
  <c r="B23" i="22"/>
  <c r="A23" i="22"/>
  <c r="E22" i="22"/>
  <c r="C22" i="22"/>
  <c r="B22" i="22"/>
  <c r="A22" i="22"/>
  <c r="E21" i="22"/>
  <c r="C21" i="22"/>
  <c r="B21" i="22"/>
  <c r="A21" i="22"/>
  <c r="E20" i="22"/>
  <c r="C20" i="22"/>
  <c r="B20" i="22"/>
  <c r="A20" i="22"/>
  <c r="E19" i="22"/>
  <c r="C19" i="22"/>
  <c r="B19" i="22"/>
  <c r="A19" i="22"/>
  <c r="E18" i="22"/>
  <c r="C18" i="22"/>
  <c r="B18" i="22"/>
  <c r="A18" i="22"/>
  <c r="E17" i="22"/>
  <c r="C17" i="22"/>
  <c r="B17" i="22"/>
  <c r="A17" i="22"/>
  <c r="E16" i="22"/>
  <c r="C16" i="22"/>
  <c r="B16" i="22"/>
  <c r="A16" i="22"/>
  <c r="E15" i="22"/>
  <c r="C15" i="22"/>
  <c r="B15" i="22"/>
  <c r="A15" i="22"/>
  <c r="E14" i="22"/>
  <c r="C14" i="22"/>
  <c r="B14" i="22"/>
  <c r="A14" i="22"/>
  <c r="E13" i="22"/>
  <c r="C13" i="22"/>
  <c r="B13" i="22"/>
  <c r="A13" i="22"/>
  <c r="E12" i="22"/>
  <c r="C12" i="22"/>
  <c r="B12" i="22"/>
  <c r="A12" i="22"/>
  <c r="E11" i="22"/>
  <c r="C11" i="22"/>
  <c r="B11" i="22"/>
  <c r="A11" i="22"/>
  <c r="E10" i="22"/>
  <c r="C10" i="22"/>
  <c r="B10" i="22"/>
  <c r="A10" i="22"/>
  <c r="E9" i="22"/>
  <c r="C9" i="22"/>
  <c r="B9" i="22"/>
  <c r="A9" i="22"/>
  <c r="E8" i="22"/>
  <c r="C8" i="22"/>
  <c r="B8" i="22"/>
  <c r="A8" i="22"/>
  <c r="E7" i="22"/>
  <c r="C7" i="22"/>
  <c r="B7" i="22"/>
  <c r="A7" i="22"/>
  <c r="E6" i="22"/>
  <c r="C6" i="22"/>
  <c r="B6" i="22"/>
  <c r="A6" i="22"/>
  <c r="E5" i="22"/>
  <c r="C5" i="22"/>
  <c r="B5" i="22"/>
  <c r="A5" i="22"/>
  <c r="E4" i="22"/>
  <c r="C4" i="22"/>
  <c r="B4" i="22"/>
  <c r="A4" i="22"/>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B18"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D17" i="21"/>
  <c r="C17" i="21"/>
  <c r="B17"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E16" i="21"/>
  <c r="B16"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C8" i="21"/>
  <c r="B8"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D7" i="21"/>
  <c r="B7" i="21"/>
  <c r="F41" i="19"/>
  <c r="F40" i="19"/>
  <c r="F38" i="19"/>
  <c r="G36" i="19"/>
  <c r="F36" i="19"/>
  <c r="G35" i="19"/>
  <c r="F35" i="19"/>
  <c r="G34" i="19"/>
  <c r="G33" i="19"/>
  <c r="G31" i="19"/>
  <c r="G30" i="19"/>
  <c r="G29" i="19"/>
  <c r="F27" i="19"/>
  <c r="G26" i="19"/>
  <c r="G25" i="19"/>
  <c r="G23" i="19"/>
  <c r="G22" i="19"/>
  <c r="G21" i="19"/>
  <c r="G18" i="19"/>
  <c r="G16" i="19"/>
  <c r="G15" i="19"/>
  <c r="F12" i="19"/>
  <c r="G11" i="19"/>
  <c r="G8" i="19"/>
  <c r="G7" i="19"/>
  <c r="G6" i="19"/>
  <c r="AK30" i="18"/>
  <c r="D29" i="22" s="1"/>
  <c r="C30" i="18"/>
  <c r="B30" i="18"/>
  <c r="A30" i="18"/>
  <c r="AK29" i="18"/>
  <c r="D28" i="22" s="1"/>
  <c r="C29" i="18"/>
  <c r="B29" i="18"/>
  <c r="A29" i="18"/>
  <c r="AK28" i="18"/>
  <c r="D27" i="22" s="1"/>
  <c r="C28" i="18"/>
  <c r="B28" i="18"/>
  <c r="A28" i="18"/>
  <c r="AL27" i="18"/>
  <c r="AK27" i="18"/>
  <c r="D26" i="22" s="1"/>
  <c r="C27" i="18"/>
  <c r="B27" i="18"/>
  <c r="A27" i="18"/>
  <c r="AK26" i="18"/>
  <c r="D25" i="22" s="1"/>
  <c r="C26" i="18"/>
  <c r="B26" i="18"/>
  <c r="A26" i="18"/>
  <c r="AK25" i="18"/>
  <c r="D24" i="22" s="1"/>
  <c r="C25" i="18"/>
  <c r="B25" i="18"/>
  <c r="A25" i="18"/>
  <c r="AK24" i="18"/>
  <c r="D23" i="22" s="1"/>
  <c r="C24" i="18"/>
  <c r="B24" i="18"/>
  <c r="A24" i="18"/>
  <c r="AL23" i="18"/>
  <c r="AK23" i="18"/>
  <c r="D22" i="22" s="1"/>
  <c r="C23" i="18"/>
  <c r="B23" i="18"/>
  <c r="A23" i="18"/>
  <c r="AK22" i="18"/>
  <c r="D21" i="22" s="1"/>
  <c r="C22" i="18"/>
  <c r="B22" i="18"/>
  <c r="A22" i="18"/>
  <c r="AK21" i="18"/>
  <c r="D20" i="22" s="1"/>
  <c r="C21" i="18"/>
  <c r="B21" i="18"/>
  <c r="A21" i="18"/>
  <c r="AK20" i="18"/>
  <c r="D19" i="22" s="1"/>
  <c r="C20" i="18"/>
  <c r="B20" i="18"/>
  <c r="A20" i="18"/>
  <c r="AL19" i="18"/>
  <c r="AK19" i="18"/>
  <c r="D18" i="22" s="1"/>
  <c r="C19" i="18"/>
  <c r="B19" i="18"/>
  <c r="A19" i="18"/>
  <c r="AK18" i="18"/>
  <c r="D17" i="22" s="1"/>
  <c r="C18" i="18"/>
  <c r="B18" i="18"/>
  <c r="A18" i="18"/>
  <c r="AK17" i="18"/>
  <c r="D16" i="22" s="1"/>
  <c r="C17" i="18"/>
  <c r="B17" i="18"/>
  <c r="A17" i="18"/>
  <c r="AK16" i="18"/>
  <c r="D15" i="22" s="1"/>
  <c r="C16" i="18"/>
  <c r="B16" i="18"/>
  <c r="A16" i="18"/>
  <c r="I43" i="15" s="1"/>
  <c r="J43" i="15" s="1"/>
  <c r="AL15" i="18"/>
  <c r="AK15" i="18"/>
  <c r="D14" i="22" s="1"/>
  <c r="C15" i="18"/>
  <c r="B15" i="18"/>
  <c r="A15" i="18"/>
  <c r="AK14" i="18"/>
  <c r="D13" i="22" s="1"/>
  <c r="C14" i="18"/>
  <c r="B14" i="18"/>
  <c r="A14" i="18"/>
  <c r="AK13" i="18"/>
  <c r="D12" i="22" s="1"/>
  <c r="C13" i="18"/>
  <c r="B13" i="18"/>
  <c r="A13" i="18"/>
  <c r="AK12" i="18"/>
  <c r="D11" i="22" s="1"/>
  <c r="C12" i="18"/>
  <c r="B12" i="18"/>
  <c r="A12" i="18"/>
  <c r="AL11" i="18"/>
  <c r="AK11" i="18"/>
  <c r="D10" i="22" s="1"/>
  <c r="C11" i="18"/>
  <c r="B11" i="18"/>
  <c r="A11" i="18"/>
  <c r="AK10" i="18"/>
  <c r="D9" i="22" s="1"/>
  <c r="C10" i="18"/>
  <c r="B10" i="18"/>
  <c r="A10" i="18"/>
  <c r="AK9" i="18"/>
  <c r="D8" i="22" s="1"/>
  <c r="C9" i="18"/>
  <c r="B9" i="18"/>
  <c r="A9" i="18"/>
  <c r="AK8" i="18"/>
  <c r="D7" i="22" s="1"/>
  <c r="C8" i="18"/>
  <c r="B8" i="18"/>
  <c r="A8" i="18"/>
  <c r="AL7" i="18"/>
  <c r="AK7" i="18"/>
  <c r="D6" i="22" s="1"/>
  <c r="C7" i="18"/>
  <c r="B7" i="18"/>
  <c r="A7" i="18"/>
  <c r="AK6" i="18"/>
  <c r="D5" i="22" s="1"/>
  <c r="C6" i="18"/>
  <c r="B6" i="18"/>
  <c r="A6" i="18"/>
  <c r="AK5" i="18"/>
  <c r="D4" i="22" s="1"/>
  <c r="C5" i="18"/>
  <c r="B5" i="18"/>
  <c r="A5" i="18"/>
  <c r="G44" i="17"/>
  <c r="H44" i="17" s="1"/>
  <c r="A44" i="17"/>
  <c r="G43" i="17"/>
  <c r="H43" i="17" s="1"/>
  <c r="A43" i="17"/>
  <c r="G42" i="17"/>
  <c r="H42" i="17" s="1"/>
  <c r="A42" i="17"/>
  <c r="G41" i="17"/>
  <c r="H41" i="17" s="1"/>
  <c r="A41" i="17"/>
  <c r="G40" i="17"/>
  <c r="H40" i="17" s="1"/>
  <c r="A40" i="17"/>
  <c r="G39" i="17"/>
  <c r="H39" i="17" s="1"/>
  <c r="A39" i="17"/>
  <c r="G38" i="17"/>
  <c r="H38" i="17" s="1"/>
  <c r="A38" i="17"/>
  <c r="G37" i="17"/>
  <c r="H37" i="17" s="1"/>
  <c r="A37" i="17"/>
  <c r="G36" i="17"/>
  <c r="H36" i="17" s="1"/>
  <c r="A36" i="17"/>
  <c r="G35" i="17"/>
  <c r="H35" i="17" s="1"/>
  <c r="A35" i="17"/>
  <c r="G34" i="17"/>
  <c r="H34" i="17" s="1"/>
  <c r="A34" i="17"/>
  <c r="G33" i="17"/>
  <c r="H33" i="17" s="1"/>
  <c r="A33" i="17"/>
  <c r="G32" i="17"/>
  <c r="H32" i="17" s="1"/>
  <c r="A32" i="17"/>
  <c r="G31" i="17"/>
  <c r="H31" i="17" s="1"/>
  <c r="A31" i="17"/>
  <c r="G30" i="17"/>
  <c r="H30" i="17" s="1"/>
  <c r="A30" i="17"/>
  <c r="G29" i="17"/>
  <c r="H29" i="17" s="1"/>
  <c r="A29" i="17"/>
  <c r="G28" i="17"/>
  <c r="H28" i="17" s="1"/>
  <c r="A28" i="17"/>
  <c r="G27" i="17"/>
  <c r="H27" i="17" s="1"/>
  <c r="A27" i="17"/>
  <c r="G26" i="17"/>
  <c r="H26" i="17" s="1"/>
  <c r="A26" i="17"/>
  <c r="G25" i="17"/>
  <c r="H25" i="17" s="1"/>
  <c r="A25" i="17"/>
  <c r="G24" i="17"/>
  <c r="H24" i="17" s="1"/>
  <c r="A24" i="17"/>
  <c r="G23" i="17"/>
  <c r="H23" i="17" s="1"/>
  <c r="A23" i="17"/>
  <c r="G22" i="17"/>
  <c r="H22" i="17" s="1"/>
  <c r="A22" i="17"/>
  <c r="G21" i="17"/>
  <c r="H21" i="17" s="1"/>
  <c r="A21" i="17"/>
  <c r="G20" i="17"/>
  <c r="H20" i="17" s="1"/>
  <c r="A20" i="17"/>
  <c r="G19" i="17"/>
  <c r="H19" i="17" s="1"/>
  <c r="A19" i="17"/>
  <c r="G18" i="17"/>
  <c r="H18" i="17" s="1"/>
  <c r="A18" i="17"/>
  <c r="G17" i="17"/>
  <c r="H17" i="17" s="1"/>
  <c r="A17" i="17"/>
  <c r="G16" i="17"/>
  <c r="H16" i="17" s="1"/>
  <c r="A16" i="17"/>
  <c r="G15" i="17"/>
  <c r="H15" i="17" s="1"/>
  <c r="A15" i="17"/>
  <c r="G14" i="17"/>
  <c r="H14" i="17" s="1"/>
  <c r="A14" i="17"/>
  <c r="G13" i="17"/>
  <c r="H13" i="17" s="1"/>
  <c r="A13" i="17"/>
  <c r="G12" i="17"/>
  <c r="H12" i="17" s="1"/>
  <c r="A12" i="17"/>
  <c r="G11" i="17"/>
  <c r="H11" i="17" s="1"/>
  <c r="A11" i="17"/>
  <c r="G10" i="17"/>
  <c r="H10" i="17" s="1"/>
  <c r="A10" i="17"/>
  <c r="G9" i="17"/>
  <c r="H9" i="17" s="1"/>
  <c r="A9" i="17"/>
  <c r="G8" i="17"/>
  <c r="H8" i="17" s="1"/>
  <c r="A8" i="17"/>
  <c r="G7" i="17"/>
  <c r="H7" i="17" s="1"/>
  <c r="E18" i="21" s="1"/>
  <c r="A7" i="17"/>
  <c r="G6" i="17"/>
  <c r="H6" i="17" s="1"/>
  <c r="D18" i="21" s="1"/>
  <c r="A6" i="17"/>
  <c r="G5" i="17"/>
  <c r="H5" i="17" s="1"/>
  <c r="A5" i="17"/>
  <c r="G44" i="16"/>
  <c r="F44" i="16"/>
  <c r="A44" i="16"/>
  <c r="G43" i="16"/>
  <c r="F43" i="16"/>
  <c r="A43" i="16"/>
  <c r="G42" i="16"/>
  <c r="F42" i="16"/>
  <c r="A42" i="16"/>
  <c r="G41" i="16"/>
  <c r="F41" i="16"/>
  <c r="A41" i="16"/>
  <c r="G40" i="16"/>
  <c r="F40" i="16"/>
  <c r="A40" i="16"/>
  <c r="G39" i="16"/>
  <c r="F39" i="16"/>
  <c r="A39" i="16"/>
  <c r="G38" i="16"/>
  <c r="F38" i="16"/>
  <c r="A38" i="16"/>
  <c r="G37" i="16"/>
  <c r="F37" i="16"/>
  <c r="A37" i="16"/>
  <c r="G36" i="16"/>
  <c r="F36" i="16"/>
  <c r="A36" i="16"/>
  <c r="G35" i="16"/>
  <c r="F35" i="16"/>
  <c r="A35" i="16"/>
  <c r="G34" i="16"/>
  <c r="F34" i="16"/>
  <c r="A34" i="16"/>
  <c r="G33" i="16"/>
  <c r="F33" i="16"/>
  <c r="A33" i="16"/>
  <c r="G32" i="16"/>
  <c r="F32" i="16"/>
  <c r="A32" i="16"/>
  <c r="G31" i="16"/>
  <c r="F31" i="16"/>
  <c r="A31" i="16"/>
  <c r="G30" i="16"/>
  <c r="F30" i="16"/>
  <c r="A30" i="16"/>
  <c r="G29" i="16"/>
  <c r="F29" i="16"/>
  <c r="A29" i="16"/>
  <c r="G28" i="16"/>
  <c r="F28" i="16"/>
  <c r="A28" i="16"/>
  <c r="G27" i="16"/>
  <c r="F27" i="16"/>
  <c r="A27" i="16"/>
  <c r="G26" i="16"/>
  <c r="F26" i="16"/>
  <c r="A26" i="16"/>
  <c r="G25" i="16"/>
  <c r="F25" i="16"/>
  <c r="A25" i="16"/>
  <c r="G24" i="16"/>
  <c r="F24" i="16"/>
  <c r="A24" i="16"/>
  <c r="G23" i="16"/>
  <c r="F23" i="16"/>
  <c r="A23" i="16"/>
  <c r="G22" i="16"/>
  <c r="F22" i="16"/>
  <c r="A22" i="16"/>
  <c r="G21" i="16"/>
  <c r="F21" i="16"/>
  <c r="A21" i="16"/>
  <c r="G20" i="16"/>
  <c r="F20" i="16"/>
  <c r="A20" i="16"/>
  <c r="G19" i="16"/>
  <c r="F19" i="16"/>
  <c r="A19" i="16"/>
  <c r="G18" i="16"/>
  <c r="F18" i="16"/>
  <c r="A18" i="16"/>
  <c r="G17" i="16"/>
  <c r="F17" i="16"/>
  <c r="A17" i="16"/>
  <c r="G16" i="16"/>
  <c r="F16" i="16"/>
  <c r="A16" i="16"/>
  <c r="G15" i="16"/>
  <c r="F15" i="16"/>
  <c r="A15" i="16"/>
  <c r="G14" i="16"/>
  <c r="F14" i="16"/>
  <c r="A14" i="16"/>
  <c r="G13" i="16"/>
  <c r="F13" i="16"/>
  <c r="A13" i="16"/>
  <c r="G12" i="16"/>
  <c r="F12" i="16"/>
  <c r="A12" i="16"/>
  <c r="G11" i="16"/>
  <c r="F11" i="16"/>
  <c r="A11" i="16"/>
  <c r="G10" i="16"/>
  <c r="F10" i="16"/>
  <c r="A10" i="16"/>
  <c r="G9" i="16"/>
  <c r="F9" i="16"/>
  <c r="A9" i="16"/>
  <c r="G8" i="16"/>
  <c r="F8" i="16"/>
  <c r="A8" i="16"/>
  <c r="G7" i="16"/>
  <c r="F7" i="16"/>
  <c r="A7" i="16"/>
  <c r="G6" i="16"/>
  <c r="F6" i="16"/>
  <c r="A6" i="16"/>
  <c r="G5" i="16"/>
  <c r="F5" i="16"/>
  <c r="A5" i="16"/>
  <c r="G44" i="15"/>
  <c r="F44" i="15"/>
  <c r="A44" i="15"/>
  <c r="G43" i="15"/>
  <c r="F43" i="15"/>
  <c r="A43" i="15"/>
  <c r="G42" i="15"/>
  <c r="F42" i="15"/>
  <c r="A42" i="15"/>
  <c r="G41" i="15"/>
  <c r="F41" i="15"/>
  <c r="A41" i="15"/>
  <c r="G40" i="15"/>
  <c r="F40" i="15"/>
  <c r="A40" i="15"/>
  <c r="G39" i="15"/>
  <c r="F39" i="15"/>
  <c r="A39" i="15"/>
  <c r="G38" i="15"/>
  <c r="F38" i="15"/>
  <c r="A38" i="15"/>
  <c r="G37" i="15"/>
  <c r="F37" i="15"/>
  <c r="A37" i="15"/>
  <c r="G36" i="15"/>
  <c r="F36" i="15"/>
  <c r="A36" i="15"/>
  <c r="G35" i="15"/>
  <c r="F35" i="15"/>
  <c r="A35" i="15"/>
  <c r="G34" i="15"/>
  <c r="F34" i="15"/>
  <c r="A34" i="15"/>
  <c r="G33" i="15"/>
  <c r="F33" i="15"/>
  <c r="A33" i="15"/>
  <c r="G32" i="15"/>
  <c r="F32" i="15"/>
  <c r="A32" i="15"/>
  <c r="G31" i="15"/>
  <c r="F31" i="15"/>
  <c r="A31" i="15"/>
  <c r="G30" i="15"/>
  <c r="F30" i="15"/>
  <c r="A30" i="15"/>
  <c r="G29" i="15"/>
  <c r="F29" i="15"/>
  <c r="A29" i="15"/>
  <c r="G28" i="15"/>
  <c r="F28" i="15"/>
  <c r="A28" i="15"/>
  <c r="G27" i="15"/>
  <c r="F27" i="15"/>
  <c r="A27" i="15"/>
  <c r="G26" i="15"/>
  <c r="F26" i="15"/>
  <c r="A26" i="15"/>
  <c r="G25" i="15"/>
  <c r="F25" i="15"/>
  <c r="A25" i="15"/>
  <c r="G24" i="15"/>
  <c r="F24" i="15"/>
  <c r="A24" i="15"/>
  <c r="G23" i="15"/>
  <c r="F23" i="15"/>
  <c r="A23" i="15"/>
  <c r="I22" i="15"/>
  <c r="J22" i="15" s="1"/>
  <c r="G22" i="15"/>
  <c r="F22" i="15"/>
  <c r="A22" i="15"/>
  <c r="K21" i="15"/>
  <c r="G21" i="15"/>
  <c r="F21" i="15"/>
  <c r="A21" i="15"/>
  <c r="G20" i="15"/>
  <c r="F20" i="15"/>
  <c r="A20" i="15"/>
  <c r="G19" i="15"/>
  <c r="F19" i="15"/>
  <c r="A19" i="15"/>
  <c r="G18" i="15"/>
  <c r="F18" i="15"/>
  <c r="A18" i="15"/>
  <c r="G17" i="15"/>
  <c r="F17" i="15"/>
  <c r="A17" i="15"/>
  <c r="G16" i="15"/>
  <c r="F16" i="15"/>
  <c r="A16" i="15"/>
  <c r="G15" i="15"/>
  <c r="F15" i="15"/>
  <c r="A15" i="15"/>
  <c r="G14" i="15"/>
  <c r="F14" i="15"/>
  <c r="A14" i="15"/>
  <c r="G13" i="15"/>
  <c r="F13" i="15"/>
  <c r="A13" i="15"/>
  <c r="G12" i="15"/>
  <c r="F12" i="15"/>
  <c r="A12" i="15"/>
  <c r="G11" i="15"/>
  <c r="F11" i="15"/>
  <c r="A11" i="15"/>
  <c r="G10" i="15"/>
  <c r="F10" i="15"/>
  <c r="A10" i="15"/>
  <c r="G9" i="15"/>
  <c r="F9" i="15"/>
  <c r="A9" i="15"/>
  <c r="G8" i="15"/>
  <c r="F8" i="15"/>
  <c r="A8" i="15"/>
  <c r="G7" i="15"/>
  <c r="F7" i="15"/>
  <c r="A7" i="15"/>
  <c r="G6" i="15"/>
  <c r="F6" i="15"/>
  <c r="A6" i="15"/>
  <c r="I5" i="15"/>
  <c r="J5" i="15" s="1"/>
  <c r="C7" i="21" s="1"/>
  <c r="G5" i="15"/>
  <c r="F5" i="15"/>
  <c r="A5" i="15"/>
  <c r="H64" i="14"/>
  <c r="I64" i="14" s="1"/>
  <c r="A64" i="14"/>
  <c r="H63" i="14"/>
  <c r="I63" i="14" s="1"/>
  <c r="A63" i="14"/>
  <c r="H62" i="14"/>
  <c r="I62" i="14" s="1"/>
  <c r="A62" i="14"/>
  <c r="H61" i="14"/>
  <c r="I61" i="14" s="1"/>
  <c r="A61" i="14"/>
  <c r="H60" i="14"/>
  <c r="I60" i="14" s="1"/>
  <c r="A60" i="14"/>
  <c r="H59" i="14"/>
  <c r="I59" i="14" s="1"/>
  <c r="A59" i="14"/>
  <c r="H58" i="14"/>
  <c r="I58" i="14" s="1"/>
  <c r="A58" i="14"/>
  <c r="H57" i="14"/>
  <c r="I57" i="14" s="1"/>
  <c r="A57" i="14"/>
  <c r="H56" i="14"/>
  <c r="I56" i="14" s="1"/>
  <c r="A56" i="14"/>
  <c r="H55" i="14"/>
  <c r="I55" i="14" s="1"/>
  <c r="A55" i="14"/>
  <c r="H54" i="14"/>
  <c r="I54" i="14" s="1"/>
  <c r="A54" i="14"/>
  <c r="H53" i="14"/>
  <c r="I53" i="14" s="1"/>
  <c r="A53" i="14"/>
  <c r="H52" i="14"/>
  <c r="I52" i="14" s="1"/>
  <c r="A52" i="14"/>
  <c r="H51" i="14"/>
  <c r="I51" i="14" s="1"/>
  <c r="A51" i="14"/>
  <c r="H50" i="14"/>
  <c r="I50" i="14" s="1"/>
  <c r="A50" i="14"/>
  <c r="H49" i="14"/>
  <c r="I49" i="14" s="1"/>
  <c r="A49" i="14"/>
  <c r="H48" i="14"/>
  <c r="I48" i="14" s="1"/>
  <c r="A48" i="14"/>
  <c r="H47" i="14"/>
  <c r="I47" i="14" s="1"/>
  <c r="A47" i="14"/>
  <c r="H46" i="14"/>
  <c r="I46" i="14" s="1"/>
  <c r="A46" i="14"/>
  <c r="H45" i="14"/>
  <c r="I45" i="14" s="1"/>
  <c r="A45" i="14"/>
  <c r="H44" i="14"/>
  <c r="I44" i="14" s="1"/>
  <c r="A44" i="14"/>
  <c r="H43" i="14"/>
  <c r="I43" i="14" s="1"/>
  <c r="A43" i="14"/>
  <c r="H42" i="14"/>
  <c r="I42" i="14" s="1"/>
  <c r="A42" i="14"/>
  <c r="H41" i="14"/>
  <c r="I41" i="14" s="1"/>
  <c r="A41" i="14"/>
  <c r="H40" i="14"/>
  <c r="I40" i="14" s="1"/>
  <c r="A40" i="14"/>
  <c r="H39" i="14"/>
  <c r="I39" i="14" s="1"/>
  <c r="A39" i="14"/>
  <c r="H38" i="14"/>
  <c r="I38" i="14" s="1"/>
  <c r="A38" i="14"/>
  <c r="H37" i="14"/>
  <c r="I37" i="14" s="1"/>
  <c r="A37" i="14"/>
  <c r="H36" i="14"/>
  <c r="I36" i="14" s="1"/>
  <c r="A36" i="14"/>
  <c r="H35" i="14"/>
  <c r="I35" i="14" s="1"/>
  <c r="A35" i="14"/>
  <c r="H34" i="14"/>
  <c r="I34" i="14" s="1"/>
  <c r="A34" i="14"/>
  <c r="H33" i="14"/>
  <c r="I33" i="14" s="1"/>
  <c r="A33" i="14"/>
  <c r="H32" i="14"/>
  <c r="I32" i="14" s="1"/>
  <c r="A32" i="14"/>
  <c r="H31" i="14"/>
  <c r="I31" i="14" s="1"/>
  <c r="A31" i="14"/>
  <c r="H30" i="14"/>
  <c r="I30" i="14" s="1"/>
  <c r="A30" i="14"/>
  <c r="H29" i="14"/>
  <c r="I29" i="14" s="1"/>
  <c r="A29" i="14"/>
  <c r="H28" i="14"/>
  <c r="I28" i="14" s="1"/>
  <c r="A28" i="14"/>
  <c r="H27" i="14"/>
  <c r="I27" i="14" s="1"/>
  <c r="A27" i="14"/>
  <c r="H26" i="14"/>
  <c r="I26" i="14" s="1"/>
  <c r="A26" i="14"/>
  <c r="H25" i="14"/>
  <c r="I25" i="14" s="1"/>
  <c r="A25" i="14"/>
  <c r="H24" i="14"/>
  <c r="I24" i="14" s="1"/>
  <c r="A24" i="14"/>
  <c r="H23" i="14"/>
  <c r="I23" i="14" s="1"/>
  <c r="A23" i="14"/>
  <c r="H22" i="14"/>
  <c r="I22" i="14" s="1"/>
  <c r="A22" i="14"/>
  <c r="H21" i="14"/>
  <c r="I21" i="14" s="1"/>
  <c r="A21" i="14"/>
  <c r="H20" i="14"/>
  <c r="I20" i="14" s="1"/>
  <c r="A20" i="14"/>
  <c r="H19" i="14"/>
  <c r="I19" i="14" s="1"/>
  <c r="A19" i="14"/>
  <c r="H18" i="14"/>
  <c r="I18" i="14" s="1"/>
  <c r="A18" i="14"/>
  <c r="H17" i="14"/>
  <c r="I17" i="14" s="1"/>
  <c r="A17" i="14"/>
  <c r="H16" i="14"/>
  <c r="I16" i="14" s="1"/>
  <c r="A16" i="14"/>
  <c r="H15" i="14"/>
  <c r="I15" i="14" s="1"/>
  <c r="A15" i="14"/>
  <c r="H14" i="14"/>
  <c r="I14" i="14" s="1"/>
  <c r="A14" i="14"/>
  <c r="H13" i="14"/>
  <c r="I13" i="14" s="1"/>
  <c r="A13" i="14"/>
  <c r="H12" i="14"/>
  <c r="I12" i="14" s="1"/>
  <c r="A12" i="14"/>
  <c r="H11" i="14"/>
  <c r="I11" i="14" s="1"/>
  <c r="A11" i="14"/>
  <c r="H10" i="14"/>
  <c r="I10" i="14" s="1"/>
  <c r="A10" i="14"/>
  <c r="H9" i="14"/>
  <c r="I9" i="14" s="1"/>
  <c r="A9" i="14"/>
  <c r="H8" i="14"/>
  <c r="I8" i="14" s="1"/>
  <c r="F16" i="21" s="1"/>
  <c r="A8" i="14"/>
  <c r="H7" i="14"/>
  <c r="I7" i="14" s="1"/>
  <c r="A7" i="14"/>
  <c r="H6" i="14"/>
  <c r="I6" i="14" s="1"/>
  <c r="D16" i="21" s="1"/>
  <c r="A6" i="14"/>
  <c r="H5" i="14"/>
  <c r="I5" i="14" s="1"/>
  <c r="A5" i="14"/>
  <c r="D14" i="13"/>
  <c r="D13" i="13"/>
  <c r="D12" i="13"/>
  <c r="D11" i="13"/>
  <c r="D10" i="13"/>
  <c r="D9" i="13"/>
  <c r="D8" i="13"/>
  <c r="D7" i="13"/>
  <c r="D6" i="13"/>
  <c r="D5" i="13"/>
  <c r="P42" i="11"/>
  <c r="O42" i="11"/>
  <c r="P41" i="11"/>
  <c r="O41" i="11"/>
  <c r="P40" i="11"/>
  <c r="O40" i="11"/>
  <c r="P39" i="11"/>
  <c r="O39" i="11"/>
  <c r="P38" i="11"/>
  <c r="O38" i="11"/>
  <c r="P37" i="11"/>
  <c r="O37" i="11"/>
  <c r="P36" i="11"/>
  <c r="O36" i="11"/>
  <c r="P35" i="11"/>
  <c r="O35" i="11"/>
  <c r="P34" i="11"/>
  <c r="O34" i="11"/>
  <c r="P32" i="11"/>
  <c r="O32" i="11"/>
  <c r="P31" i="11"/>
  <c r="O31" i="11"/>
  <c r="P30" i="11"/>
  <c r="O30" i="11"/>
  <c r="P29" i="11"/>
  <c r="O29" i="11"/>
  <c r="P28" i="11"/>
  <c r="O28" i="11"/>
  <c r="P27" i="11"/>
  <c r="O27" i="11"/>
  <c r="P26" i="11"/>
  <c r="O26" i="11"/>
  <c r="P25" i="11"/>
  <c r="O25" i="11"/>
  <c r="P24" i="11"/>
  <c r="O24" i="11"/>
  <c r="P23" i="11"/>
  <c r="O23" i="11"/>
  <c r="P22" i="11"/>
  <c r="O22" i="11"/>
  <c r="P20" i="11"/>
  <c r="O20" i="11"/>
  <c r="P19" i="11"/>
  <c r="O19" i="11"/>
  <c r="P18" i="11"/>
  <c r="O18" i="11"/>
  <c r="P17" i="11"/>
  <c r="O17" i="11"/>
  <c r="P16" i="11"/>
  <c r="O16" i="11"/>
  <c r="P15" i="11"/>
  <c r="O15" i="11"/>
  <c r="P14" i="11"/>
  <c r="O14" i="11"/>
  <c r="P13" i="11"/>
  <c r="O13" i="11"/>
  <c r="P12" i="11"/>
  <c r="O12" i="11"/>
  <c r="P11" i="11"/>
  <c r="O11" i="11"/>
  <c r="P10" i="11"/>
  <c r="O10" i="11"/>
  <c r="P9" i="11"/>
  <c r="O9" i="11"/>
  <c r="P8" i="11"/>
  <c r="O8" i="11"/>
  <c r="P7" i="11"/>
  <c r="O7" i="11"/>
  <c r="O6" i="11"/>
  <c r="P6" i="11" s="1"/>
  <c r="O45" i="10"/>
  <c r="N45" i="10"/>
  <c r="M45" i="10"/>
  <c r="L45" i="10"/>
  <c r="K45" i="10"/>
  <c r="J45" i="10"/>
  <c r="I45" i="10"/>
  <c r="H45" i="10"/>
  <c r="G45" i="10"/>
  <c r="P42" i="10"/>
  <c r="J41" i="19" s="1"/>
  <c r="P41" i="10"/>
  <c r="J40" i="19" s="1"/>
  <c r="P40" i="10"/>
  <c r="J39" i="19" s="1"/>
  <c r="P39" i="10"/>
  <c r="J38" i="19" s="1"/>
  <c r="P38" i="10"/>
  <c r="J37" i="19" s="1"/>
  <c r="P37" i="10"/>
  <c r="J36" i="19" s="1"/>
  <c r="P36" i="10"/>
  <c r="J35" i="19" s="1"/>
  <c r="P35" i="10"/>
  <c r="J34" i="19" s="1"/>
  <c r="P34" i="10"/>
  <c r="J33" i="19" s="1"/>
  <c r="P32" i="10"/>
  <c r="J31" i="19" s="1"/>
  <c r="P31" i="10"/>
  <c r="J30" i="19" s="1"/>
  <c r="P30" i="10"/>
  <c r="J29" i="19" s="1"/>
  <c r="P29" i="10"/>
  <c r="J28" i="19" s="1"/>
  <c r="P28" i="10"/>
  <c r="J27" i="19" s="1"/>
  <c r="P27" i="10"/>
  <c r="J26" i="19" s="1"/>
  <c r="P26" i="10"/>
  <c r="J25" i="19" s="1"/>
  <c r="P25" i="10"/>
  <c r="J24" i="19" s="1"/>
  <c r="P24" i="10"/>
  <c r="J23" i="19" s="1"/>
  <c r="P23" i="10"/>
  <c r="J22" i="19" s="1"/>
  <c r="P22" i="10"/>
  <c r="J21" i="19" s="1"/>
  <c r="P20" i="10"/>
  <c r="J19" i="19" s="1"/>
  <c r="P19" i="10"/>
  <c r="J18" i="19" s="1"/>
  <c r="P18" i="10"/>
  <c r="J17" i="19" s="1"/>
  <c r="P17" i="10"/>
  <c r="J16" i="19" s="1"/>
  <c r="P16" i="10"/>
  <c r="J15" i="19" s="1"/>
  <c r="P15" i="10"/>
  <c r="J14" i="19" s="1"/>
  <c r="P14" i="10"/>
  <c r="J13" i="19" s="1"/>
  <c r="P13" i="10"/>
  <c r="J12" i="19" s="1"/>
  <c r="P12" i="10"/>
  <c r="J11" i="19" s="1"/>
  <c r="P11" i="10"/>
  <c r="J10" i="19" s="1"/>
  <c r="P10" i="10"/>
  <c r="J9" i="19" s="1"/>
  <c r="P9" i="10"/>
  <c r="J8" i="19" s="1"/>
  <c r="P8" i="10"/>
  <c r="J7" i="19" s="1"/>
  <c r="P7" i="10"/>
  <c r="J6" i="19" s="1"/>
  <c r="P6" i="10"/>
  <c r="J5" i="19" s="1"/>
  <c r="AJ42" i="8"/>
  <c r="E41" i="9" s="1"/>
  <c r="AI42" i="8"/>
  <c r="AH42" i="8"/>
  <c r="AE42" i="8"/>
  <c r="AB42" i="8"/>
  <c r="Y42" i="8"/>
  <c r="V42" i="8"/>
  <c r="S42" i="8"/>
  <c r="P42" i="8"/>
  <c r="M42" i="8"/>
  <c r="J42" i="8"/>
  <c r="F42" i="8"/>
  <c r="G42" i="8" s="1"/>
  <c r="AK42" i="8" s="1"/>
  <c r="AI41" i="8"/>
  <c r="AJ41" i="8" s="1"/>
  <c r="AH41" i="8"/>
  <c r="AE41" i="8"/>
  <c r="AB41" i="8"/>
  <c r="Y41" i="8"/>
  <c r="V41" i="8"/>
  <c r="S41" i="8"/>
  <c r="P41" i="8"/>
  <c r="M41" i="8"/>
  <c r="J41" i="8"/>
  <c r="G41" i="8"/>
  <c r="AK41" i="8" s="1"/>
  <c r="F40" i="9" s="1"/>
  <c r="F41" i="8"/>
  <c r="AJ40" i="8"/>
  <c r="AI40" i="8"/>
  <c r="AH40" i="8"/>
  <c r="AE40" i="8"/>
  <c r="AB40" i="8"/>
  <c r="Y40" i="8"/>
  <c r="V40" i="8"/>
  <c r="S40" i="8"/>
  <c r="P40" i="8"/>
  <c r="M40" i="8"/>
  <c r="J40" i="8"/>
  <c r="F40" i="8"/>
  <c r="G40" i="8" s="1"/>
  <c r="AK40" i="8" s="1"/>
  <c r="F39" i="9" s="1"/>
  <c r="AI39" i="8"/>
  <c r="AJ39" i="8" s="1"/>
  <c r="AH39" i="8"/>
  <c r="AE39" i="8"/>
  <c r="AB39" i="8"/>
  <c r="Y39" i="8"/>
  <c r="V39" i="8"/>
  <c r="S39" i="8"/>
  <c r="P39" i="8"/>
  <c r="M39" i="8"/>
  <c r="J39" i="8"/>
  <c r="G39" i="8"/>
  <c r="AK39" i="8" s="1"/>
  <c r="F38" i="9" s="1"/>
  <c r="F39" i="8"/>
  <c r="AJ38" i="8"/>
  <c r="E37" i="9" s="1"/>
  <c r="AI38" i="8"/>
  <c r="AH38" i="8"/>
  <c r="AE38" i="8"/>
  <c r="AB38" i="8"/>
  <c r="Y38" i="8"/>
  <c r="V38" i="8"/>
  <c r="S38" i="8"/>
  <c r="P38" i="8"/>
  <c r="M38" i="8"/>
  <c r="J38" i="8"/>
  <c r="F38" i="8"/>
  <c r="G38" i="8" s="1"/>
  <c r="AK38" i="8" s="1"/>
  <c r="AI37" i="8"/>
  <c r="AJ37" i="8" s="1"/>
  <c r="AH37" i="8"/>
  <c r="AE37" i="8"/>
  <c r="AB37" i="8"/>
  <c r="Y37" i="8"/>
  <c r="V37" i="8"/>
  <c r="S37" i="8"/>
  <c r="P37" i="8"/>
  <c r="M37" i="8"/>
  <c r="J37" i="8"/>
  <c r="G37" i="8"/>
  <c r="AK37" i="8" s="1"/>
  <c r="F36" i="9" s="1"/>
  <c r="F37" i="8"/>
  <c r="AJ36" i="8"/>
  <c r="AI36" i="8"/>
  <c r="AH36" i="8"/>
  <c r="AE36" i="8"/>
  <c r="AB36" i="8"/>
  <c r="Y36" i="8"/>
  <c r="V36" i="8"/>
  <c r="S36" i="8"/>
  <c r="P36" i="8"/>
  <c r="M36" i="8"/>
  <c r="J36" i="8"/>
  <c r="F36" i="8"/>
  <c r="G36" i="8" s="1"/>
  <c r="AK36" i="8" s="1"/>
  <c r="F35" i="9" s="1"/>
  <c r="AI35" i="8"/>
  <c r="AJ35" i="8" s="1"/>
  <c r="AH35" i="8"/>
  <c r="AE35" i="8"/>
  <c r="AB35" i="8"/>
  <c r="Y35" i="8"/>
  <c r="V35" i="8"/>
  <c r="S35" i="8"/>
  <c r="P35" i="8"/>
  <c r="M35" i="8"/>
  <c r="J35" i="8"/>
  <c r="G35" i="8"/>
  <c r="AK35" i="8" s="1"/>
  <c r="F34" i="9" s="1"/>
  <c r="F35" i="8"/>
  <c r="AJ34" i="8"/>
  <c r="E33" i="9" s="1"/>
  <c r="AI34" i="8"/>
  <c r="AH34" i="8"/>
  <c r="AE34" i="8"/>
  <c r="AB34" i="8"/>
  <c r="Y34" i="8"/>
  <c r="V34" i="8"/>
  <c r="S34" i="8"/>
  <c r="P34" i="8"/>
  <c r="M34" i="8"/>
  <c r="J34" i="8"/>
  <c r="F34" i="8"/>
  <c r="G34" i="8" s="1"/>
  <c r="AK34" i="8" s="1"/>
  <c r="AI32" i="8"/>
  <c r="AJ32" i="8" s="1"/>
  <c r="AH32" i="8"/>
  <c r="AE32" i="8"/>
  <c r="AB32" i="8"/>
  <c r="Y32" i="8"/>
  <c r="V32" i="8"/>
  <c r="S32" i="8"/>
  <c r="P32" i="8"/>
  <c r="M32" i="8"/>
  <c r="J32" i="8"/>
  <c r="G32" i="8"/>
  <c r="AK32" i="8" s="1"/>
  <c r="F31" i="9" s="1"/>
  <c r="F32" i="8"/>
  <c r="AJ31" i="8"/>
  <c r="AI31" i="8"/>
  <c r="AH31" i="8"/>
  <c r="AE31" i="8"/>
  <c r="AB31" i="8"/>
  <c r="Y31" i="8"/>
  <c r="V31" i="8"/>
  <c r="S31" i="8"/>
  <c r="P31" i="8"/>
  <c r="M31" i="8"/>
  <c r="J31" i="8"/>
  <c r="F31" i="8"/>
  <c r="G31" i="8" s="1"/>
  <c r="AK31" i="8" s="1"/>
  <c r="F30" i="9" s="1"/>
  <c r="AI30" i="8"/>
  <c r="AJ30" i="8" s="1"/>
  <c r="AH30" i="8"/>
  <c r="AE30" i="8"/>
  <c r="AB30" i="8"/>
  <c r="Y30" i="8"/>
  <c r="V30" i="8"/>
  <c r="S30" i="8"/>
  <c r="P30" i="8"/>
  <c r="M30" i="8"/>
  <c r="J30" i="8"/>
  <c r="G30" i="8"/>
  <c r="AK30" i="8" s="1"/>
  <c r="F29" i="9" s="1"/>
  <c r="F30" i="8"/>
  <c r="AJ29" i="8"/>
  <c r="E28" i="9" s="1"/>
  <c r="AI29" i="8"/>
  <c r="AH29" i="8"/>
  <c r="AE29" i="8"/>
  <c r="AB29" i="8"/>
  <c r="Y29" i="8"/>
  <c r="V29" i="8"/>
  <c r="S29" i="8"/>
  <c r="P29" i="8"/>
  <c r="M29" i="8"/>
  <c r="J29" i="8"/>
  <c r="F29" i="8"/>
  <c r="G29" i="8" s="1"/>
  <c r="AK29" i="8" s="1"/>
  <c r="AI28" i="8"/>
  <c r="AJ28" i="8" s="1"/>
  <c r="AH28" i="8"/>
  <c r="AE28" i="8"/>
  <c r="AB28" i="8"/>
  <c r="Y28" i="8"/>
  <c r="V28" i="8"/>
  <c r="S28" i="8"/>
  <c r="P28" i="8"/>
  <c r="M28" i="8"/>
  <c r="J28" i="8"/>
  <c r="G28" i="8"/>
  <c r="AK28" i="8" s="1"/>
  <c r="F27" i="9" s="1"/>
  <c r="F28" i="8"/>
  <c r="AJ27" i="8"/>
  <c r="AI27" i="8"/>
  <c r="AH27" i="8"/>
  <c r="AE27" i="8"/>
  <c r="AB27" i="8"/>
  <c r="Y27" i="8"/>
  <c r="V27" i="8"/>
  <c r="S27" i="8"/>
  <c r="P27" i="8"/>
  <c r="M27" i="8"/>
  <c r="J27" i="8"/>
  <c r="F27" i="8"/>
  <c r="G27" i="8" s="1"/>
  <c r="AK27" i="8" s="1"/>
  <c r="F26" i="9" s="1"/>
  <c r="AI26" i="8"/>
  <c r="AJ26" i="8" s="1"/>
  <c r="AH26" i="8"/>
  <c r="AE26" i="8"/>
  <c r="AB26" i="8"/>
  <c r="Y26" i="8"/>
  <c r="V26" i="8"/>
  <c r="S26" i="8"/>
  <c r="P26" i="8"/>
  <c r="M26" i="8"/>
  <c r="J26" i="8"/>
  <c r="G26" i="8"/>
  <c r="AK26" i="8" s="1"/>
  <c r="F25" i="9" s="1"/>
  <c r="F26" i="8"/>
  <c r="AJ25" i="8"/>
  <c r="E24" i="9" s="1"/>
  <c r="AI25" i="8"/>
  <c r="AH25" i="8"/>
  <c r="AE25" i="8"/>
  <c r="AB25" i="8"/>
  <c r="Y25" i="8"/>
  <c r="V25" i="8"/>
  <c r="S25" i="8"/>
  <c r="P25" i="8"/>
  <c r="M25" i="8"/>
  <c r="J25" i="8"/>
  <c r="G25" i="8"/>
  <c r="AK25" i="8" s="1"/>
  <c r="F25" i="8"/>
  <c r="AJ24" i="8"/>
  <c r="E23" i="9" s="1"/>
  <c r="AI24" i="8"/>
  <c r="AH24" i="8"/>
  <c r="AE24" i="8"/>
  <c r="AB24" i="8"/>
  <c r="Y24" i="8"/>
  <c r="V24" i="8"/>
  <c r="S24" i="8"/>
  <c r="P24" i="8"/>
  <c r="M24" i="8"/>
  <c r="J24" i="8"/>
  <c r="G24" i="8"/>
  <c r="AK24" i="8" s="1"/>
  <c r="F23" i="9" s="1"/>
  <c r="F24" i="8"/>
  <c r="AJ23" i="8"/>
  <c r="AL23" i="8" s="1"/>
  <c r="AI23" i="8"/>
  <c r="AH23" i="8"/>
  <c r="AE23" i="8"/>
  <c r="AB23" i="8"/>
  <c r="Y23" i="8"/>
  <c r="V23" i="8"/>
  <c r="S23" i="8"/>
  <c r="P23" i="8"/>
  <c r="M23" i="8"/>
  <c r="J23" i="8"/>
  <c r="F23" i="8"/>
  <c r="G23" i="8" s="1"/>
  <c r="AK23" i="8" s="1"/>
  <c r="F22" i="9" s="1"/>
  <c r="AI22" i="8"/>
  <c r="AJ22" i="8" s="1"/>
  <c r="AH22" i="8"/>
  <c r="AE22" i="8"/>
  <c r="AB22" i="8"/>
  <c r="Y22" i="8"/>
  <c r="V22" i="8"/>
  <c r="S22" i="8"/>
  <c r="P22" i="8"/>
  <c r="M22" i="8"/>
  <c r="J22" i="8"/>
  <c r="G22" i="8"/>
  <c r="F22" i="8"/>
  <c r="AJ20" i="8"/>
  <c r="E19" i="9" s="1"/>
  <c r="AI20" i="8"/>
  <c r="AH20" i="8"/>
  <c r="AE20" i="8"/>
  <c r="AB20" i="8"/>
  <c r="Y20" i="8"/>
  <c r="V20" i="8"/>
  <c r="S20" i="8"/>
  <c r="P20" i="8"/>
  <c r="M20" i="8"/>
  <c r="J20" i="8"/>
  <c r="G20" i="8"/>
  <c r="AK20" i="8" s="1"/>
  <c r="F20" i="8"/>
  <c r="AJ19" i="8"/>
  <c r="E18" i="9" s="1"/>
  <c r="AI19" i="8"/>
  <c r="AH19" i="8"/>
  <c r="AE19" i="8"/>
  <c r="AB19" i="8"/>
  <c r="Y19" i="8"/>
  <c r="V19" i="8"/>
  <c r="S19" i="8"/>
  <c r="P19" i="8"/>
  <c r="M19" i="8"/>
  <c r="J19" i="8"/>
  <c r="G19" i="8"/>
  <c r="AK19" i="8" s="1"/>
  <c r="F18" i="9" s="1"/>
  <c r="F19" i="8"/>
  <c r="AJ18" i="8"/>
  <c r="AI18" i="8"/>
  <c r="AH18" i="8"/>
  <c r="AE18" i="8"/>
  <c r="AB18" i="8"/>
  <c r="Y18" i="8"/>
  <c r="V18" i="8"/>
  <c r="S18" i="8"/>
  <c r="P18" i="8"/>
  <c r="M18" i="8"/>
  <c r="J18" i="8"/>
  <c r="F18" i="8"/>
  <c r="G18" i="8" s="1"/>
  <c r="AK18" i="8" s="1"/>
  <c r="F17" i="9" s="1"/>
  <c r="AI17" i="8"/>
  <c r="AJ17" i="8" s="1"/>
  <c r="AH17" i="8"/>
  <c r="AE17" i="8"/>
  <c r="AB17" i="8"/>
  <c r="Y17" i="8"/>
  <c r="V17" i="8"/>
  <c r="S17" i="8"/>
  <c r="P17" i="8"/>
  <c r="M17" i="8"/>
  <c r="J17" i="8"/>
  <c r="G17" i="8"/>
  <c r="AK17" i="8" s="1"/>
  <c r="F16" i="9" s="1"/>
  <c r="F17" i="8"/>
  <c r="AJ16" i="8"/>
  <c r="E15" i="9" s="1"/>
  <c r="AI16" i="8"/>
  <c r="AH16" i="8"/>
  <c r="AE16" i="8"/>
  <c r="AB16" i="8"/>
  <c r="Y16" i="8"/>
  <c r="V16" i="8"/>
  <c r="S16" i="8"/>
  <c r="P16" i="8"/>
  <c r="M16" i="8"/>
  <c r="J16" i="8"/>
  <c r="G16" i="8"/>
  <c r="AK16" i="8" s="1"/>
  <c r="F16" i="8"/>
  <c r="AJ15" i="8"/>
  <c r="E14" i="9" s="1"/>
  <c r="AI15" i="8"/>
  <c r="AH15" i="8"/>
  <c r="AE15" i="8"/>
  <c r="AB15" i="8"/>
  <c r="Y15" i="8"/>
  <c r="V15" i="8"/>
  <c r="S15" i="8"/>
  <c r="P15" i="8"/>
  <c r="M15" i="8"/>
  <c r="J15" i="8"/>
  <c r="G15" i="8"/>
  <c r="AK15" i="8" s="1"/>
  <c r="F14" i="9" s="1"/>
  <c r="F15" i="8"/>
  <c r="AJ14" i="8"/>
  <c r="AL14" i="8" s="1"/>
  <c r="AI14" i="8"/>
  <c r="AH14" i="8"/>
  <c r="AE14" i="8"/>
  <c r="AB14" i="8"/>
  <c r="Y14" i="8"/>
  <c r="V14" i="8"/>
  <c r="S14" i="8"/>
  <c r="P14" i="8"/>
  <c r="M14" i="8"/>
  <c r="J14" i="8"/>
  <c r="F14" i="8"/>
  <c r="G14" i="8" s="1"/>
  <c r="AK14" i="8" s="1"/>
  <c r="F13" i="9" s="1"/>
  <c r="AI13" i="8"/>
  <c r="AJ13" i="8" s="1"/>
  <c r="AH13" i="8"/>
  <c r="AE13" i="8"/>
  <c r="AB13" i="8"/>
  <c r="Y13" i="8"/>
  <c r="V13" i="8"/>
  <c r="S13" i="8"/>
  <c r="P13" i="8"/>
  <c r="M13" i="8"/>
  <c r="J13" i="8"/>
  <c r="G13" i="8"/>
  <c r="F13" i="8"/>
  <c r="AJ12" i="8"/>
  <c r="E11" i="9" s="1"/>
  <c r="AI12" i="8"/>
  <c r="AH12" i="8"/>
  <c r="AE12" i="8"/>
  <c r="AB12" i="8"/>
  <c r="Y12" i="8"/>
  <c r="V12" i="8"/>
  <c r="S12" i="8"/>
  <c r="P12" i="8"/>
  <c r="M12" i="8"/>
  <c r="J12" i="8"/>
  <c r="G12" i="8"/>
  <c r="AK12" i="8" s="1"/>
  <c r="F11" i="9" s="1"/>
  <c r="F12" i="8"/>
  <c r="AJ11" i="8"/>
  <c r="E10" i="9" s="1"/>
  <c r="AI11" i="8"/>
  <c r="AH11" i="8"/>
  <c r="AE11" i="8"/>
  <c r="AB11" i="8"/>
  <c r="Y11" i="8"/>
  <c r="V11" i="8"/>
  <c r="S11" i="8"/>
  <c r="P11" i="8"/>
  <c r="M11" i="8"/>
  <c r="J11" i="8"/>
  <c r="G11" i="8"/>
  <c r="AK11" i="8" s="1"/>
  <c r="F10" i="9" s="1"/>
  <c r="F11" i="8"/>
  <c r="AJ10" i="8"/>
  <c r="AI10" i="8"/>
  <c r="AH10" i="8"/>
  <c r="AE10" i="8"/>
  <c r="AB10" i="8"/>
  <c r="Y10" i="8"/>
  <c r="V10" i="8"/>
  <c r="S10" i="8"/>
  <c r="P10" i="8"/>
  <c r="M10" i="8"/>
  <c r="J10" i="8"/>
  <c r="F10" i="8"/>
  <c r="G10" i="8" s="1"/>
  <c r="AI9" i="8"/>
  <c r="AJ9" i="8" s="1"/>
  <c r="AH9" i="8"/>
  <c r="AE9" i="8"/>
  <c r="AB9" i="8"/>
  <c r="Y9" i="8"/>
  <c r="V9" i="8"/>
  <c r="S9" i="8"/>
  <c r="P9" i="8"/>
  <c r="M9" i="8"/>
  <c r="J9" i="8"/>
  <c r="F9" i="8"/>
  <c r="G9" i="8" s="1"/>
  <c r="AI8" i="8"/>
  <c r="AJ8" i="8" s="1"/>
  <c r="E7" i="9" s="1"/>
  <c r="AH8" i="8"/>
  <c r="AE8" i="8"/>
  <c r="AB8" i="8"/>
  <c r="Y8" i="8"/>
  <c r="V8" i="8"/>
  <c r="S8" i="8"/>
  <c r="P8" i="8"/>
  <c r="M8" i="8"/>
  <c r="J8" i="8"/>
  <c r="G8" i="8"/>
  <c r="F8" i="8"/>
  <c r="AJ7" i="8"/>
  <c r="E6" i="9" s="1"/>
  <c r="AI7" i="8"/>
  <c r="AH7" i="8"/>
  <c r="AE7" i="8"/>
  <c r="AB7" i="8"/>
  <c r="Y7" i="8"/>
  <c r="V7" i="8"/>
  <c r="S7" i="8"/>
  <c r="P7" i="8"/>
  <c r="M7" i="8"/>
  <c r="J7" i="8"/>
  <c r="G7" i="8"/>
  <c r="AK7" i="8" s="1"/>
  <c r="F6" i="9" s="1"/>
  <c r="F7" i="8"/>
  <c r="AJ6" i="8"/>
  <c r="AI6" i="8"/>
  <c r="AH6" i="8"/>
  <c r="AE6" i="8"/>
  <c r="AB6" i="8"/>
  <c r="Y6" i="8"/>
  <c r="V6" i="8"/>
  <c r="S6" i="8"/>
  <c r="P6" i="8"/>
  <c r="M6" i="8"/>
  <c r="J6" i="8"/>
  <c r="F6" i="8"/>
  <c r="G6" i="8" s="1"/>
  <c r="AK6" i="8" s="1"/>
  <c r="F5" i="9" s="1"/>
  <c r="AG42" i="7"/>
  <c r="AF42" i="7"/>
  <c r="AC42" i="7"/>
  <c r="Z42" i="7"/>
  <c r="W42" i="7"/>
  <c r="T42" i="7"/>
  <c r="Q42" i="7"/>
  <c r="N42" i="7"/>
  <c r="K42" i="7"/>
  <c r="H42" i="7"/>
  <c r="AH42" i="7" s="1"/>
  <c r="AI42" i="7" s="1"/>
  <c r="E42" i="7"/>
  <c r="AG41" i="7"/>
  <c r="AF41" i="7"/>
  <c r="AC41" i="7"/>
  <c r="Z41" i="7"/>
  <c r="W41" i="7"/>
  <c r="T41" i="7"/>
  <c r="Q41" i="7"/>
  <c r="N41" i="7"/>
  <c r="K41" i="7"/>
  <c r="H41" i="7"/>
  <c r="E41" i="7"/>
  <c r="AG40" i="7"/>
  <c r="AF40" i="7"/>
  <c r="AC40" i="7"/>
  <c r="Z40" i="7"/>
  <c r="W40" i="7"/>
  <c r="T40" i="7"/>
  <c r="Q40" i="7"/>
  <c r="N40" i="7"/>
  <c r="AH40" i="7" s="1"/>
  <c r="AI40" i="7" s="1"/>
  <c r="K40" i="7"/>
  <c r="H40" i="7"/>
  <c r="E40" i="7"/>
  <c r="AG39" i="7"/>
  <c r="AF39" i="7"/>
  <c r="AC39" i="7"/>
  <c r="Z39" i="7"/>
  <c r="W39" i="7"/>
  <c r="T39" i="7"/>
  <c r="Q39" i="7"/>
  <c r="N39" i="7"/>
  <c r="AH39" i="7" s="1"/>
  <c r="AI39" i="7" s="1"/>
  <c r="K39" i="7"/>
  <c r="H39" i="7"/>
  <c r="E39" i="7"/>
  <c r="AG38" i="7"/>
  <c r="AF38" i="7"/>
  <c r="AC38" i="7"/>
  <c r="Z38" i="7"/>
  <c r="W38" i="7"/>
  <c r="T38" i="7"/>
  <c r="Q38" i="7"/>
  <c r="N38" i="7"/>
  <c r="K38" i="7"/>
  <c r="H38" i="7"/>
  <c r="AH38" i="7" s="1"/>
  <c r="AI38" i="7" s="1"/>
  <c r="E38" i="7"/>
  <c r="AG37" i="7"/>
  <c r="AF37" i="7"/>
  <c r="AC37" i="7"/>
  <c r="Z37" i="7"/>
  <c r="W37" i="7"/>
  <c r="T37" i="7"/>
  <c r="Q37" i="7"/>
  <c r="N37" i="7"/>
  <c r="K37" i="7"/>
  <c r="H37" i="7"/>
  <c r="AH37" i="7" s="1"/>
  <c r="AI37" i="7" s="1"/>
  <c r="E37" i="7"/>
  <c r="AG36" i="7"/>
  <c r="AF36" i="7"/>
  <c r="AC36" i="7"/>
  <c r="Z36" i="7"/>
  <c r="W36" i="7"/>
  <c r="T36" i="7"/>
  <c r="Q36" i="7"/>
  <c r="N36" i="7"/>
  <c r="AH36" i="7" s="1"/>
  <c r="AI36" i="7" s="1"/>
  <c r="K36" i="7"/>
  <c r="H36" i="7"/>
  <c r="E36" i="7"/>
  <c r="AG35" i="7"/>
  <c r="AF35" i="7"/>
  <c r="AC35" i="7"/>
  <c r="Z35" i="7"/>
  <c r="W35" i="7"/>
  <c r="T35" i="7"/>
  <c r="Q35" i="7"/>
  <c r="N35" i="7"/>
  <c r="K35" i="7"/>
  <c r="H35" i="7"/>
  <c r="E35" i="7"/>
  <c r="AG34" i="7"/>
  <c r="AF34" i="7"/>
  <c r="AC34" i="7"/>
  <c r="Z34" i="7"/>
  <c r="W34" i="7"/>
  <c r="T34" i="7"/>
  <c r="Q34" i="7"/>
  <c r="N34" i="7"/>
  <c r="K34" i="7"/>
  <c r="H34" i="7"/>
  <c r="AH34" i="7" s="1"/>
  <c r="AI34" i="7" s="1"/>
  <c r="E34" i="7"/>
  <c r="AG32" i="7"/>
  <c r="AF32" i="7"/>
  <c r="AC32" i="7"/>
  <c r="Z32" i="7"/>
  <c r="W32" i="7"/>
  <c r="T32" i="7"/>
  <c r="Q32" i="7"/>
  <c r="N32" i="7"/>
  <c r="K32" i="7"/>
  <c r="H32" i="7"/>
  <c r="E32" i="7"/>
  <c r="AG31" i="7"/>
  <c r="AF31" i="7"/>
  <c r="AC31" i="7"/>
  <c r="Z31" i="7"/>
  <c r="W31" i="7"/>
  <c r="T31" i="7"/>
  <c r="Q31" i="7"/>
  <c r="N31" i="7"/>
  <c r="AH31" i="7" s="1"/>
  <c r="AI31" i="7" s="1"/>
  <c r="K31" i="7"/>
  <c r="H31" i="7"/>
  <c r="E31" i="7"/>
  <c r="AG30" i="7"/>
  <c r="AF30" i="7"/>
  <c r="AC30" i="7"/>
  <c r="Z30" i="7"/>
  <c r="W30" i="7"/>
  <c r="T30" i="7"/>
  <c r="Q30" i="7"/>
  <c r="N30" i="7"/>
  <c r="K30" i="7"/>
  <c r="H30" i="7"/>
  <c r="E30" i="7"/>
  <c r="AG29" i="7"/>
  <c r="AF29" i="7"/>
  <c r="AC29" i="7"/>
  <c r="Z29" i="7"/>
  <c r="W29" i="7"/>
  <c r="T29" i="7"/>
  <c r="Q29" i="7"/>
  <c r="N29" i="7"/>
  <c r="K29" i="7"/>
  <c r="H29" i="7"/>
  <c r="AH29" i="7" s="1"/>
  <c r="AI29" i="7" s="1"/>
  <c r="E29" i="7"/>
  <c r="AG28" i="7"/>
  <c r="AF28" i="7"/>
  <c r="AC28" i="7"/>
  <c r="Z28" i="7"/>
  <c r="W28" i="7"/>
  <c r="T28" i="7"/>
  <c r="Q28" i="7"/>
  <c r="N28" i="7"/>
  <c r="K28" i="7"/>
  <c r="H28" i="7"/>
  <c r="AH28" i="7" s="1"/>
  <c r="AI28" i="7" s="1"/>
  <c r="E28" i="7"/>
  <c r="AG27" i="7"/>
  <c r="AF27" i="7"/>
  <c r="AC27" i="7"/>
  <c r="Z27" i="7"/>
  <c r="W27" i="7"/>
  <c r="T27" i="7"/>
  <c r="Q27" i="7"/>
  <c r="N27" i="7"/>
  <c r="AH27" i="7" s="1"/>
  <c r="AI27" i="7" s="1"/>
  <c r="K27" i="7"/>
  <c r="H27" i="7"/>
  <c r="E27" i="7"/>
  <c r="AG26" i="7"/>
  <c r="AF26" i="7"/>
  <c r="AC26" i="7"/>
  <c r="Z26" i="7"/>
  <c r="W26" i="7"/>
  <c r="T26" i="7"/>
  <c r="Q26" i="7"/>
  <c r="N26" i="7"/>
  <c r="K26" i="7"/>
  <c r="H26" i="7"/>
  <c r="AH26" i="7" s="1"/>
  <c r="AI26" i="7" s="1"/>
  <c r="E26" i="7"/>
  <c r="AG25" i="7"/>
  <c r="AF25" i="7"/>
  <c r="AC25" i="7"/>
  <c r="Z25" i="7"/>
  <c r="W25" i="7"/>
  <c r="T25" i="7"/>
  <c r="Q25" i="7"/>
  <c r="N25" i="7"/>
  <c r="K25" i="7"/>
  <c r="H25" i="7"/>
  <c r="AH25" i="7" s="1"/>
  <c r="AI25" i="7" s="1"/>
  <c r="E25" i="7"/>
  <c r="AG24" i="7"/>
  <c r="AF24" i="7"/>
  <c r="AC24" i="7"/>
  <c r="Z24" i="7"/>
  <c r="W24" i="7"/>
  <c r="T24" i="7"/>
  <c r="Q24" i="7"/>
  <c r="N24" i="7"/>
  <c r="K24" i="7"/>
  <c r="H24" i="7"/>
  <c r="E24" i="7"/>
  <c r="AG23" i="7"/>
  <c r="AF23" i="7"/>
  <c r="AC23" i="7"/>
  <c r="Z23" i="7"/>
  <c r="W23" i="7"/>
  <c r="T23" i="7"/>
  <c r="Q23" i="7"/>
  <c r="N23" i="7"/>
  <c r="AH23" i="7" s="1"/>
  <c r="AI23" i="7" s="1"/>
  <c r="K23" i="7"/>
  <c r="H23" i="7"/>
  <c r="E23" i="7"/>
  <c r="AG22" i="7"/>
  <c r="AF22" i="7"/>
  <c r="AC22" i="7"/>
  <c r="Z22" i="7"/>
  <c r="W22" i="7"/>
  <c r="T22" i="7"/>
  <c r="Q22" i="7"/>
  <c r="N22" i="7"/>
  <c r="K22" i="7"/>
  <c r="H22" i="7"/>
  <c r="E22" i="7"/>
  <c r="AG20" i="7"/>
  <c r="AF20" i="7"/>
  <c r="AC20" i="7"/>
  <c r="Z20" i="7"/>
  <c r="W20" i="7"/>
  <c r="T20" i="7"/>
  <c r="Q20" i="7"/>
  <c r="N20" i="7"/>
  <c r="K20" i="7"/>
  <c r="H20" i="7"/>
  <c r="AH20" i="7" s="1"/>
  <c r="AI20" i="7" s="1"/>
  <c r="E20" i="7"/>
  <c r="AG19" i="7"/>
  <c r="AF19" i="7"/>
  <c r="AC19" i="7"/>
  <c r="Z19" i="7"/>
  <c r="W19" i="7"/>
  <c r="T19" i="7"/>
  <c r="Q19" i="7"/>
  <c r="N19" i="7"/>
  <c r="K19" i="7"/>
  <c r="H19" i="7"/>
  <c r="AH19" i="7" s="1"/>
  <c r="AI19" i="7" s="1"/>
  <c r="E19" i="7"/>
  <c r="AG18" i="7"/>
  <c r="AF18" i="7"/>
  <c r="AC18" i="7"/>
  <c r="Z18" i="7"/>
  <c r="W18" i="7"/>
  <c r="T18" i="7"/>
  <c r="Q18" i="7"/>
  <c r="N18" i="7"/>
  <c r="AH18" i="7" s="1"/>
  <c r="AI18" i="7" s="1"/>
  <c r="K18" i="7"/>
  <c r="H18" i="7"/>
  <c r="E18" i="7"/>
  <c r="AG17" i="7"/>
  <c r="AF17" i="7"/>
  <c r="AC17" i="7"/>
  <c r="Z17" i="7"/>
  <c r="W17" i="7"/>
  <c r="T17" i="7"/>
  <c r="Q17" i="7"/>
  <c r="N17" i="7"/>
  <c r="K17" i="7"/>
  <c r="H17" i="7"/>
  <c r="E17" i="7"/>
  <c r="AG16" i="7"/>
  <c r="AF16" i="7"/>
  <c r="AC16" i="7"/>
  <c r="Z16" i="7"/>
  <c r="W16" i="7"/>
  <c r="T16" i="7"/>
  <c r="Q16" i="7"/>
  <c r="N16" i="7"/>
  <c r="K16" i="7"/>
  <c r="H16" i="7"/>
  <c r="AH16" i="7" s="1"/>
  <c r="AI16" i="7" s="1"/>
  <c r="E16" i="7"/>
  <c r="AG15" i="7"/>
  <c r="AF15" i="7"/>
  <c r="AC15" i="7"/>
  <c r="Z15" i="7"/>
  <c r="W15" i="7"/>
  <c r="T15" i="7"/>
  <c r="Q15" i="7"/>
  <c r="N15" i="7"/>
  <c r="K15" i="7"/>
  <c r="H15" i="7"/>
  <c r="E15" i="7"/>
  <c r="AG14" i="7"/>
  <c r="AF14" i="7"/>
  <c r="AC14" i="7"/>
  <c r="Z14" i="7"/>
  <c r="W14" i="7"/>
  <c r="T14" i="7"/>
  <c r="Q14" i="7"/>
  <c r="N14" i="7"/>
  <c r="AH14" i="7" s="1"/>
  <c r="AI14" i="7" s="1"/>
  <c r="K14" i="7"/>
  <c r="H14" i="7"/>
  <c r="E14" i="7"/>
  <c r="AG13" i="7"/>
  <c r="AF13" i="7"/>
  <c r="AC13" i="7"/>
  <c r="Z13" i="7"/>
  <c r="W13" i="7"/>
  <c r="T13" i="7"/>
  <c r="Q13" i="7"/>
  <c r="N13" i="7"/>
  <c r="K13" i="7"/>
  <c r="H13" i="7"/>
  <c r="E13" i="7"/>
  <c r="AG12" i="7"/>
  <c r="AF12" i="7"/>
  <c r="AC12" i="7"/>
  <c r="Z12" i="7"/>
  <c r="W12" i="7"/>
  <c r="T12" i="7"/>
  <c r="Q12" i="7"/>
  <c r="N12" i="7"/>
  <c r="K12" i="7"/>
  <c r="H12" i="7"/>
  <c r="AH12" i="7" s="1"/>
  <c r="AI12" i="7" s="1"/>
  <c r="E12" i="7"/>
  <c r="AG11" i="7"/>
  <c r="AF11" i="7"/>
  <c r="AC11" i="7"/>
  <c r="Z11" i="7"/>
  <c r="W11" i="7"/>
  <c r="T11" i="7"/>
  <c r="Q11" i="7"/>
  <c r="N11" i="7"/>
  <c r="K11" i="7"/>
  <c r="H11" i="7"/>
  <c r="AH11" i="7" s="1"/>
  <c r="AI11" i="7" s="1"/>
  <c r="E11" i="7"/>
  <c r="AG10" i="7"/>
  <c r="AF10" i="7"/>
  <c r="AC10" i="7"/>
  <c r="Z10" i="7"/>
  <c r="W10" i="7"/>
  <c r="T10" i="7"/>
  <c r="Q10" i="7"/>
  <c r="N10" i="7"/>
  <c r="K10" i="7"/>
  <c r="H10" i="7"/>
  <c r="AH10" i="7" s="1"/>
  <c r="AI10" i="7" s="1"/>
  <c r="E10" i="7"/>
  <c r="AG9" i="7"/>
  <c r="AF9" i="7"/>
  <c r="AC9" i="7"/>
  <c r="Z9" i="7"/>
  <c r="W9" i="7"/>
  <c r="T9" i="7"/>
  <c r="Q9" i="7"/>
  <c r="N9" i="7"/>
  <c r="K9" i="7"/>
  <c r="H9" i="7"/>
  <c r="AH9" i="7" s="1"/>
  <c r="AI9" i="7" s="1"/>
  <c r="E9" i="7"/>
  <c r="AG8" i="7"/>
  <c r="AF8" i="7"/>
  <c r="AC8" i="7"/>
  <c r="Z8" i="7"/>
  <c r="W8" i="7"/>
  <c r="T8" i="7"/>
  <c r="Q8" i="7"/>
  <c r="N8" i="7"/>
  <c r="AH8" i="7" s="1"/>
  <c r="AI8" i="7" s="1"/>
  <c r="K8" i="7"/>
  <c r="H8" i="7"/>
  <c r="E8" i="7"/>
  <c r="AG7" i="7"/>
  <c r="AF7" i="7"/>
  <c r="AC7" i="7"/>
  <c r="Z7" i="7"/>
  <c r="W7" i="7"/>
  <c r="T7" i="7"/>
  <c r="Q7" i="7"/>
  <c r="N7" i="7"/>
  <c r="AH7" i="7" s="1"/>
  <c r="AI7" i="7" s="1"/>
  <c r="K7" i="7"/>
  <c r="H7" i="7"/>
  <c r="E7" i="7"/>
  <c r="AG6" i="7"/>
  <c r="AF6" i="7"/>
  <c r="AC6" i="7"/>
  <c r="Z6" i="7"/>
  <c r="W6" i="7"/>
  <c r="T6" i="7"/>
  <c r="Q6" i="7"/>
  <c r="N6" i="7"/>
  <c r="K6" i="7"/>
  <c r="H6" i="7"/>
  <c r="AH6" i="7" s="1"/>
  <c r="AI6" i="7" s="1"/>
  <c r="E6" i="7"/>
  <c r="H65" i="6"/>
  <c r="H64" i="6"/>
  <c r="H63" i="6"/>
  <c r="H60" i="6"/>
  <c r="H59" i="6"/>
  <c r="H58" i="6"/>
  <c r="H57" i="6"/>
  <c r="H54" i="6"/>
  <c r="H53" i="6"/>
  <c r="H52" i="6"/>
  <c r="H51" i="6"/>
  <c r="H48" i="6"/>
  <c r="H47" i="6"/>
  <c r="H46" i="6"/>
  <c r="H45" i="6"/>
  <c r="H42" i="6"/>
  <c r="H41" i="6"/>
  <c r="H40" i="6"/>
  <c r="H39" i="6"/>
  <c r="H38" i="6"/>
  <c r="H35" i="6"/>
  <c r="H34" i="6"/>
  <c r="H33" i="6"/>
  <c r="H32" i="6"/>
  <c r="H29" i="6"/>
  <c r="H28" i="6"/>
  <c r="H27" i="6"/>
  <c r="H26" i="6"/>
  <c r="H23" i="6"/>
  <c r="H22" i="6"/>
  <c r="H21" i="6"/>
  <c r="H20" i="6"/>
  <c r="H19" i="6"/>
  <c r="H16" i="6"/>
  <c r="H15" i="6"/>
  <c r="H14" i="6"/>
  <c r="H13" i="6"/>
  <c r="H12" i="6"/>
  <c r="H9" i="6"/>
  <c r="H8" i="6"/>
  <c r="H7" i="6"/>
  <c r="H6" i="6"/>
  <c r="H5" i="6"/>
  <c r="H4" i="6"/>
  <c r="H144" i="5"/>
  <c r="H145" i="5" s="1"/>
  <c r="E30" i="18" s="1"/>
  <c r="F29" i="22" s="1"/>
  <c r="H141" i="5"/>
  <c r="H142" i="5" s="1"/>
  <c r="E29" i="18" s="1"/>
  <c r="F28" i="22" s="1"/>
  <c r="H138" i="5"/>
  <c r="H139" i="5" s="1"/>
  <c r="E28" i="18" s="1"/>
  <c r="H135" i="5"/>
  <c r="H134" i="5"/>
  <c r="H133" i="5"/>
  <c r="H130" i="5"/>
  <c r="H129" i="5"/>
  <c r="H128" i="5"/>
  <c r="H127" i="5"/>
  <c r="H124" i="5"/>
  <c r="H123" i="5"/>
  <c r="H122" i="5"/>
  <c r="H119" i="5"/>
  <c r="H118" i="5"/>
  <c r="H115" i="5"/>
  <c r="H116" i="5" s="1"/>
  <c r="E23" i="18" s="1"/>
  <c r="H112" i="5"/>
  <c r="H111" i="5"/>
  <c r="H108" i="5"/>
  <c r="H107" i="5"/>
  <c r="H104" i="5"/>
  <c r="H105" i="5" s="1"/>
  <c r="E20" i="18" s="1"/>
  <c r="H101" i="5"/>
  <c r="H100" i="5"/>
  <c r="H99" i="5"/>
  <c r="H96" i="5"/>
  <c r="H95" i="5"/>
  <c r="H94" i="5"/>
  <c r="H93" i="5"/>
  <c r="H92" i="5"/>
  <c r="H89" i="5"/>
  <c r="H88" i="5"/>
  <c r="H87" i="5"/>
  <c r="H86" i="5"/>
  <c r="H83" i="5"/>
  <c r="H82" i="5"/>
  <c r="H79" i="5"/>
  <c r="H78" i="5"/>
  <c r="H75" i="5"/>
  <c r="H74" i="5"/>
  <c r="I73" i="5"/>
  <c r="J73" i="5" s="1"/>
  <c r="H73" i="5"/>
  <c r="H72" i="5"/>
  <c r="H69" i="5"/>
  <c r="I68" i="5"/>
  <c r="J68" i="5" s="1"/>
  <c r="H68" i="5"/>
  <c r="H67" i="5"/>
  <c r="H66" i="5"/>
  <c r="I65" i="5"/>
  <c r="J65" i="5" s="1"/>
  <c r="F14" i="19" s="1"/>
  <c r="H65" i="5"/>
  <c r="H62" i="5"/>
  <c r="H61" i="5"/>
  <c r="I60" i="5"/>
  <c r="J60" i="5" s="1"/>
  <c r="H60" i="5"/>
  <c r="H57" i="5"/>
  <c r="H56" i="5"/>
  <c r="I55" i="5"/>
  <c r="J55" i="5" s="1"/>
  <c r="F15" i="19" s="1"/>
  <c r="H55" i="5"/>
  <c r="H52" i="5"/>
  <c r="H51" i="5"/>
  <c r="I50" i="5"/>
  <c r="J50" i="5" s="1"/>
  <c r="H50" i="5"/>
  <c r="H49" i="5"/>
  <c r="H48" i="5"/>
  <c r="I45" i="5"/>
  <c r="J45" i="5" s="1"/>
  <c r="H45" i="5"/>
  <c r="H44" i="5"/>
  <c r="H43" i="5"/>
  <c r="H42" i="5"/>
  <c r="H41" i="5"/>
  <c r="I40" i="5"/>
  <c r="J40" i="5" s="1"/>
  <c r="H40" i="5"/>
  <c r="H39" i="5"/>
  <c r="H36" i="5"/>
  <c r="I35" i="5"/>
  <c r="J35" i="5" s="1"/>
  <c r="H35" i="5"/>
  <c r="H34" i="5"/>
  <c r="H33" i="5"/>
  <c r="I32" i="5"/>
  <c r="J32" i="5" s="1"/>
  <c r="H32" i="5"/>
  <c r="H31" i="5"/>
  <c r="I28" i="5"/>
  <c r="J28" i="5" s="1"/>
  <c r="H28" i="5"/>
  <c r="I27" i="5"/>
  <c r="J27" i="5" s="1"/>
  <c r="H27" i="5"/>
  <c r="I26" i="5"/>
  <c r="J26" i="5" s="1"/>
  <c r="H26" i="5"/>
  <c r="I25" i="5"/>
  <c r="J25" i="5" s="1"/>
  <c r="H25" i="5"/>
  <c r="I24" i="5"/>
  <c r="J24" i="5" s="1"/>
  <c r="H24" i="5"/>
  <c r="I21" i="5"/>
  <c r="J21" i="5" s="1"/>
  <c r="H21" i="5"/>
  <c r="I20" i="5"/>
  <c r="J20" i="5" s="1"/>
  <c r="H20" i="5"/>
  <c r="I19" i="5"/>
  <c r="J19" i="5" s="1"/>
  <c r="H19" i="5"/>
  <c r="I18" i="5"/>
  <c r="J18" i="5" s="1"/>
  <c r="H18" i="5"/>
  <c r="I17" i="5"/>
  <c r="J17" i="5" s="1"/>
  <c r="H17" i="5"/>
  <c r="I16" i="5"/>
  <c r="J16" i="5" s="1"/>
  <c r="H16" i="5"/>
  <c r="I15" i="5"/>
  <c r="J15" i="5" s="1"/>
  <c r="H15" i="5"/>
  <c r="I14" i="5"/>
  <c r="J14" i="5" s="1"/>
  <c r="H14" i="5"/>
  <c r="I11" i="5"/>
  <c r="J11" i="5" s="1"/>
  <c r="I10" i="5"/>
  <c r="J10" i="5" s="1"/>
  <c r="I9" i="5"/>
  <c r="J9" i="5" s="1"/>
  <c r="I8" i="5"/>
  <c r="J8" i="5" s="1"/>
  <c r="I7" i="5"/>
  <c r="J7" i="5" s="1"/>
  <c r="I6" i="5"/>
  <c r="J6" i="5" s="1"/>
  <c r="I5" i="5"/>
  <c r="J5" i="5" s="1"/>
  <c r="B53" i="4"/>
  <c r="B52" i="4"/>
  <c r="B51" i="4"/>
  <c r="B50" i="4"/>
  <c r="J22" i="1"/>
  <c r="G22" i="1"/>
  <c r="H120" i="5" l="1"/>
  <c r="E24" i="18" s="1"/>
  <c r="H49" i="6"/>
  <c r="K49" i="6" s="1"/>
  <c r="H55" i="6"/>
  <c r="K55" i="6" s="1"/>
  <c r="H61" i="6"/>
  <c r="K61" i="6" s="1"/>
  <c r="H66" i="6"/>
  <c r="K66" i="6" s="1"/>
  <c r="H113" i="5"/>
  <c r="E22" i="18" s="1"/>
  <c r="F21" i="22" s="1"/>
  <c r="H136" i="5"/>
  <c r="E27" i="18" s="1"/>
  <c r="F26" i="22" s="1"/>
  <c r="A19" i="1"/>
  <c r="H17" i="6"/>
  <c r="K17" i="6" s="1"/>
  <c r="H24" i="6"/>
  <c r="K24" i="6" s="1"/>
  <c r="H125" i="5"/>
  <c r="E25" i="18" s="1"/>
  <c r="F24" i="22" s="1"/>
  <c r="H10" i="6"/>
  <c r="K10" i="6" s="1"/>
  <c r="H30" i="6"/>
  <c r="K30" i="6" s="1"/>
  <c r="H36" i="6"/>
  <c r="K36" i="6" s="1"/>
  <c r="H43" i="6"/>
  <c r="K43" i="6" s="1"/>
  <c r="D19" i="1"/>
  <c r="I89" i="5"/>
  <c r="J89" i="5" s="1"/>
  <c r="I94" i="5"/>
  <c r="J94" i="5" s="1"/>
  <c r="I99" i="5"/>
  <c r="J99" i="5" s="1"/>
  <c r="L36" i="6" s="1"/>
  <c r="M36" i="6" s="1"/>
  <c r="N35" i="6" s="1"/>
  <c r="I104" i="5"/>
  <c r="J104" i="5" s="1"/>
  <c r="I111" i="5"/>
  <c r="J111" i="5" s="1"/>
  <c r="F22" i="19" s="1"/>
  <c r="I118" i="5"/>
  <c r="J118" i="5" s="1"/>
  <c r="F25" i="19" s="1"/>
  <c r="H25" i="19" s="1"/>
  <c r="I123" i="5"/>
  <c r="J123" i="5" s="1"/>
  <c r="K18" i="15"/>
  <c r="I19" i="15"/>
  <c r="J19" i="15" s="1"/>
  <c r="K11" i="15"/>
  <c r="I12" i="15"/>
  <c r="J12" i="15" s="1"/>
  <c r="K27" i="15"/>
  <c r="I28" i="15"/>
  <c r="J28" i="15" s="1"/>
  <c r="I39" i="15"/>
  <c r="J39" i="15" s="1"/>
  <c r="I82" i="5"/>
  <c r="J82" i="5" s="1"/>
  <c r="I130" i="5"/>
  <c r="J130" i="5" s="1"/>
  <c r="I135" i="5"/>
  <c r="J135" i="5" s="1"/>
  <c r="F37" i="19" s="1"/>
  <c r="K8" i="15"/>
  <c r="I9" i="15"/>
  <c r="J9" i="15" s="1"/>
  <c r="K24" i="15"/>
  <c r="I25" i="15"/>
  <c r="J25" i="15" s="1"/>
  <c r="K40" i="15"/>
  <c r="I41" i="15"/>
  <c r="J41" i="15" s="1"/>
  <c r="K42" i="15"/>
  <c r="H36" i="19"/>
  <c r="F36" i="20" s="1"/>
  <c r="H36" i="20" s="1"/>
  <c r="I36" i="20" s="1"/>
  <c r="H46" i="5"/>
  <c r="E9" i="18" s="1"/>
  <c r="F8" i="22" s="1"/>
  <c r="H15" i="19"/>
  <c r="L15" i="19" s="1"/>
  <c r="N15" i="19" s="1"/>
  <c r="H90" i="5"/>
  <c r="E17" i="18" s="1"/>
  <c r="F16" i="22" s="1"/>
  <c r="H16" i="22" s="1"/>
  <c r="H22" i="19"/>
  <c r="L22" i="19" s="1"/>
  <c r="N22" i="19" s="1"/>
  <c r="H76" i="5"/>
  <c r="E14" i="18" s="1"/>
  <c r="F13" i="22" s="1"/>
  <c r="H13" i="22" s="1"/>
  <c r="H29" i="5"/>
  <c r="E7" i="18" s="1"/>
  <c r="K5" i="15" s="1"/>
  <c r="H12" i="5"/>
  <c r="H22" i="5"/>
  <c r="E6" i="18" s="1"/>
  <c r="F5" i="22" s="1"/>
  <c r="G5" i="22" s="1"/>
  <c r="F16" i="19"/>
  <c r="H16" i="19" s="1"/>
  <c r="I16" i="19" s="1"/>
  <c r="H37" i="5"/>
  <c r="E8" i="18" s="1"/>
  <c r="F7" i="22" s="1"/>
  <c r="H53" i="5"/>
  <c r="E10" i="18" s="1"/>
  <c r="F9" i="22" s="1"/>
  <c r="G9" i="22" s="1"/>
  <c r="H84" i="5"/>
  <c r="E16" i="18" s="1"/>
  <c r="F15" i="22" s="1"/>
  <c r="H97" i="5"/>
  <c r="E18" i="18" s="1"/>
  <c r="F17" i="22" s="1"/>
  <c r="G17" i="22" s="1"/>
  <c r="H109" i="5"/>
  <c r="E21" i="18" s="1"/>
  <c r="F20" i="22" s="1"/>
  <c r="G20" i="22" s="1"/>
  <c r="H35" i="19"/>
  <c r="F35" i="20" s="1"/>
  <c r="H35" i="20" s="1"/>
  <c r="N9" i="6"/>
  <c r="H58" i="5"/>
  <c r="E11" i="18" s="1"/>
  <c r="H63" i="5"/>
  <c r="E12" i="18" s="1"/>
  <c r="F11" i="22" s="1"/>
  <c r="H70" i="5"/>
  <c r="E13" i="18" s="1"/>
  <c r="F12" i="22" s="1"/>
  <c r="H12" i="22" s="1"/>
  <c r="H80" i="5"/>
  <c r="E15" i="18" s="1"/>
  <c r="F14" i="22" s="1"/>
  <c r="H102" i="5"/>
  <c r="E19" i="18" s="1"/>
  <c r="AM19" i="18" s="1"/>
  <c r="H131" i="5"/>
  <c r="E26" i="18" s="1"/>
  <c r="F25" i="22" s="1"/>
  <c r="G25" i="22" s="1"/>
  <c r="I39" i="5"/>
  <c r="J39" i="5" s="1"/>
  <c r="I62" i="5"/>
  <c r="J62" i="5" s="1"/>
  <c r="I75" i="5"/>
  <c r="J75" i="5" s="1"/>
  <c r="I86" i="5"/>
  <c r="J86" i="5" s="1"/>
  <c r="I96" i="5"/>
  <c r="J96" i="5" s="1"/>
  <c r="I101" i="5"/>
  <c r="J101" i="5" s="1"/>
  <c r="I115" i="5"/>
  <c r="J115" i="5" s="1"/>
  <c r="F23" i="19" s="1"/>
  <c r="H23" i="19" s="1"/>
  <c r="F23" i="20" s="1"/>
  <c r="H23" i="20" s="1"/>
  <c r="I127" i="5"/>
  <c r="J127" i="5" s="1"/>
  <c r="I144" i="5"/>
  <c r="J144" i="5" s="1"/>
  <c r="F34" i="19" s="1"/>
  <c r="H34" i="19" s="1"/>
  <c r="L34" i="19" s="1"/>
  <c r="N34" i="19" s="1"/>
  <c r="I6" i="15"/>
  <c r="J6" i="15" s="1"/>
  <c r="E7" i="21" s="1"/>
  <c r="I7" i="15"/>
  <c r="J7" i="15" s="1"/>
  <c r="K9" i="15"/>
  <c r="I10" i="15"/>
  <c r="J10" i="15" s="1"/>
  <c r="K12" i="15"/>
  <c r="I13" i="15"/>
  <c r="J13" i="15" s="1"/>
  <c r="K15" i="15"/>
  <c r="I16" i="15"/>
  <c r="J16" i="15" s="1"/>
  <c r="K22" i="15"/>
  <c r="I23" i="15"/>
  <c r="J23" i="15" s="1"/>
  <c r="K25" i="15"/>
  <c r="I26" i="15"/>
  <c r="J26" i="15" s="1"/>
  <c r="K28" i="15"/>
  <c r="I29" i="15"/>
  <c r="J29" i="15" s="1"/>
  <c r="K31" i="15"/>
  <c r="I32" i="15"/>
  <c r="J32" i="15" s="1"/>
  <c r="K44" i="15"/>
  <c r="I5" i="16"/>
  <c r="J5" i="16" s="1"/>
  <c r="D8" i="21" s="1"/>
  <c r="K6" i="16"/>
  <c r="L6" i="16" s="1"/>
  <c r="K7" i="16"/>
  <c r="L7" i="16" s="1"/>
  <c r="I8" i="16"/>
  <c r="J8" i="16" s="1"/>
  <c r="I9" i="16"/>
  <c r="J9" i="16" s="1"/>
  <c r="K10" i="16"/>
  <c r="L10" i="16" s="1"/>
  <c r="K11" i="16"/>
  <c r="L11" i="16" s="1"/>
  <c r="I12" i="16"/>
  <c r="J12" i="16" s="1"/>
  <c r="I13" i="16"/>
  <c r="J13" i="16" s="1"/>
  <c r="K14" i="16"/>
  <c r="L14" i="16" s="1"/>
  <c r="K15" i="16"/>
  <c r="L15" i="16" s="1"/>
  <c r="I16" i="16"/>
  <c r="J16" i="16" s="1"/>
  <c r="I17" i="16"/>
  <c r="J17" i="16" s="1"/>
  <c r="K18" i="16"/>
  <c r="L18" i="16" s="1"/>
  <c r="K19" i="16"/>
  <c r="L19" i="16" s="1"/>
  <c r="I20" i="16"/>
  <c r="J20" i="16" s="1"/>
  <c r="I21" i="16"/>
  <c r="J21" i="16" s="1"/>
  <c r="K22" i="16"/>
  <c r="L22" i="16" s="1"/>
  <c r="K23" i="16"/>
  <c r="L23" i="16" s="1"/>
  <c r="I24" i="16"/>
  <c r="J24" i="16" s="1"/>
  <c r="I25" i="16"/>
  <c r="J25" i="16" s="1"/>
  <c r="K26" i="16"/>
  <c r="L26" i="16" s="1"/>
  <c r="K27" i="16"/>
  <c r="L27" i="16" s="1"/>
  <c r="I28" i="16"/>
  <c r="J28" i="16" s="1"/>
  <c r="I29" i="16"/>
  <c r="J29" i="16" s="1"/>
  <c r="K30" i="16"/>
  <c r="L30" i="16" s="1"/>
  <c r="K31" i="16"/>
  <c r="L31" i="16" s="1"/>
  <c r="I32" i="16"/>
  <c r="J32" i="16" s="1"/>
  <c r="I33" i="16"/>
  <c r="J33" i="16" s="1"/>
  <c r="K34" i="16"/>
  <c r="L34" i="16" s="1"/>
  <c r="K35" i="16"/>
  <c r="L35" i="16" s="1"/>
  <c r="I36" i="16"/>
  <c r="J36" i="16" s="1"/>
  <c r="I37" i="16"/>
  <c r="J37" i="16" s="1"/>
  <c r="K38" i="16"/>
  <c r="L38" i="16" s="1"/>
  <c r="K39" i="16"/>
  <c r="L39" i="16" s="1"/>
  <c r="I40" i="16"/>
  <c r="J40" i="16" s="1"/>
  <c r="I41" i="16"/>
  <c r="J41" i="16" s="1"/>
  <c r="K42" i="16"/>
  <c r="L42" i="16" s="1"/>
  <c r="K43" i="16"/>
  <c r="L43" i="16" s="1"/>
  <c r="L30" i="6"/>
  <c r="M30" i="6" s="1"/>
  <c r="N29" i="6" s="1"/>
  <c r="I34" i="5"/>
  <c r="J34" i="5" s="1"/>
  <c r="I52" i="5"/>
  <c r="J52" i="5" s="1"/>
  <c r="F5" i="19"/>
  <c r="I31" i="5"/>
  <c r="J31" i="5" s="1"/>
  <c r="I36" i="5"/>
  <c r="J36" i="5" s="1"/>
  <c r="I41" i="5"/>
  <c r="J41" i="5" s="1"/>
  <c r="I44" i="5"/>
  <c r="J44" i="5" s="1"/>
  <c r="I49" i="5"/>
  <c r="J49" i="5" s="1"/>
  <c r="I69" i="5"/>
  <c r="J69" i="5" s="1"/>
  <c r="I74" i="5"/>
  <c r="J74" i="5" s="1"/>
  <c r="I88" i="5"/>
  <c r="J88" i="5" s="1"/>
  <c r="L55" i="6" s="1"/>
  <c r="M55" i="6" s="1"/>
  <c r="I93" i="5"/>
  <c r="J93" i="5" s="1"/>
  <c r="I108" i="5"/>
  <c r="J108" i="5" s="1"/>
  <c r="I112" i="5"/>
  <c r="J112" i="5" s="1"/>
  <c r="I122" i="5"/>
  <c r="J122" i="5" s="1"/>
  <c r="I129" i="5"/>
  <c r="J129" i="5" s="1"/>
  <c r="F28" i="19" s="1"/>
  <c r="I134" i="5"/>
  <c r="J134" i="5" s="1"/>
  <c r="I141" i="5"/>
  <c r="J141" i="5" s="1"/>
  <c r="F33" i="19" s="1"/>
  <c r="H33" i="19" s="1"/>
  <c r="F33" i="20" s="1"/>
  <c r="H33" i="20" s="1"/>
  <c r="K10" i="15"/>
  <c r="I11" i="15"/>
  <c r="J11" i="15" s="1"/>
  <c r="K13" i="15"/>
  <c r="I14" i="15"/>
  <c r="J14" i="15" s="1"/>
  <c r="K16" i="15"/>
  <c r="I17" i="15"/>
  <c r="J17" i="15" s="1"/>
  <c r="K19" i="15"/>
  <c r="I20" i="15"/>
  <c r="J20" i="15" s="1"/>
  <c r="K26" i="15"/>
  <c r="I27" i="15"/>
  <c r="J27" i="15" s="1"/>
  <c r="K29" i="15"/>
  <c r="I30" i="15"/>
  <c r="J30" i="15" s="1"/>
  <c r="K32" i="15"/>
  <c r="I33" i="15"/>
  <c r="J33" i="15" s="1"/>
  <c r="K34" i="15"/>
  <c r="I35" i="15"/>
  <c r="J35" i="15" s="1"/>
  <c r="I42" i="5"/>
  <c r="J42" i="5" s="1"/>
  <c r="I57" i="5"/>
  <c r="J57" i="5" s="1"/>
  <c r="F19" i="19" s="1"/>
  <c r="I67" i="5"/>
  <c r="J67" i="5" s="1"/>
  <c r="I72" i="5"/>
  <c r="J72" i="5" s="1"/>
  <c r="I79" i="5"/>
  <c r="J79" i="5" s="1"/>
  <c r="I33" i="5"/>
  <c r="J33" i="5" s="1"/>
  <c r="I43" i="5"/>
  <c r="J43" i="5" s="1"/>
  <c r="I48" i="5"/>
  <c r="J48" i="5" s="1"/>
  <c r="I51" i="5"/>
  <c r="J51" i="5" s="1"/>
  <c r="I56" i="5"/>
  <c r="J56" i="5" s="1"/>
  <c r="L43" i="6" s="1"/>
  <c r="M43" i="6" s="1"/>
  <c r="N40" i="6" s="1"/>
  <c r="I61" i="5"/>
  <c r="J61" i="5" s="1"/>
  <c r="L49" i="6" s="1"/>
  <c r="M49" i="6" s="1"/>
  <c r="N48" i="6" s="1"/>
  <c r="I66" i="5"/>
  <c r="J66" i="5" s="1"/>
  <c r="I78" i="5"/>
  <c r="J78" i="5" s="1"/>
  <c r="I83" i="5"/>
  <c r="J83" i="5" s="1"/>
  <c r="I87" i="5"/>
  <c r="J87" i="5" s="1"/>
  <c r="I92" i="5"/>
  <c r="J92" i="5" s="1"/>
  <c r="I95" i="5"/>
  <c r="J95" i="5" s="1"/>
  <c r="F10" i="19" s="1"/>
  <c r="I100" i="5"/>
  <c r="J100" i="5" s="1"/>
  <c r="L61" i="6" s="1"/>
  <c r="M61" i="6" s="1"/>
  <c r="N60" i="6" s="1"/>
  <c r="I107" i="5"/>
  <c r="J107" i="5" s="1"/>
  <c r="I119" i="5"/>
  <c r="J119" i="5" s="1"/>
  <c r="I124" i="5"/>
  <c r="J124" i="5" s="1"/>
  <c r="F30" i="19" s="1"/>
  <c r="H30" i="19" s="1"/>
  <c r="L30" i="19" s="1"/>
  <c r="N30" i="19" s="1"/>
  <c r="I128" i="5"/>
  <c r="J128" i="5" s="1"/>
  <c r="L66" i="6" s="1"/>
  <c r="M66" i="6" s="1"/>
  <c r="I133" i="5"/>
  <c r="J133" i="5" s="1"/>
  <c r="I138" i="5"/>
  <c r="J138" i="5" s="1"/>
  <c r="F31" i="19" s="1"/>
  <c r="H31" i="19" s="1"/>
  <c r="L31" i="19" s="1"/>
  <c r="N31" i="19" s="1"/>
  <c r="K7" i="15"/>
  <c r="I8" i="15"/>
  <c r="J8" i="15" s="1"/>
  <c r="K14" i="15"/>
  <c r="I15" i="15"/>
  <c r="J15" i="15" s="1"/>
  <c r="K17" i="15"/>
  <c r="I18" i="15"/>
  <c r="J18" i="15" s="1"/>
  <c r="K20" i="15"/>
  <c r="I21" i="15"/>
  <c r="J21" i="15" s="1"/>
  <c r="K23" i="15"/>
  <c r="I24" i="15"/>
  <c r="J24" i="15" s="1"/>
  <c r="K30" i="15"/>
  <c r="I31" i="15"/>
  <c r="J31" i="15" s="1"/>
  <c r="K36" i="15"/>
  <c r="I37" i="15"/>
  <c r="J37" i="15" s="1"/>
  <c r="K38" i="15"/>
  <c r="K44" i="16"/>
  <c r="L44" i="16" s="1"/>
  <c r="I11" i="16"/>
  <c r="J11" i="16" s="1"/>
  <c r="H28" i="22"/>
  <c r="G28" i="22"/>
  <c r="E6" i="20"/>
  <c r="E6" i="19"/>
  <c r="F7" i="10"/>
  <c r="Q7" i="11" s="1"/>
  <c r="R7" i="11" s="1"/>
  <c r="E10" i="20"/>
  <c r="E10" i="19"/>
  <c r="F11" i="10"/>
  <c r="Q11" i="11" s="1"/>
  <c r="R11" i="11" s="1"/>
  <c r="F27" i="22"/>
  <c r="G27" i="22" s="1"/>
  <c r="AM28" i="18"/>
  <c r="F18" i="22"/>
  <c r="F19" i="22"/>
  <c r="G19" i="22" s="1"/>
  <c r="AM20" i="18"/>
  <c r="G21" i="22"/>
  <c r="H21" i="22"/>
  <c r="H20" i="22"/>
  <c r="H8" i="22"/>
  <c r="G8" i="22"/>
  <c r="G13" i="22"/>
  <c r="F22" i="22"/>
  <c r="AM23" i="18"/>
  <c r="G29" i="22"/>
  <c r="H29" i="22"/>
  <c r="G7" i="9"/>
  <c r="E8" i="10"/>
  <c r="R8" i="10" s="1"/>
  <c r="K7" i="9"/>
  <c r="J7" i="9"/>
  <c r="L7" i="9" s="1"/>
  <c r="E8" i="9"/>
  <c r="E9" i="9"/>
  <c r="E11" i="20"/>
  <c r="E11" i="19"/>
  <c r="F12" i="10"/>
  <c r="AL12" i="8"/>
  <c r="E12" i="9"/>
  <c r="E16" i="20"/>
  <c r="E16" i="19"/>
  <c r="F17" i="10"/>
  <c r="Q17" i="11" s="1"/>
  <c r="R17" i="11" s="1"/>
  <c r="E18" i="20"/>
  <c r="E18" i="19"/>
  <c r="F19" i="10"/>
  <c r="Q19" i="11" s="1"/>
  <c r="R19" i="11" s="1"/>
  <c r="G19" i="9"/>
  <c r="E20" i="10"/>
  <c r="R20" i="10" s="1"/>
  <c r="K19" i="9"/>
  <c r="J19" i="9"/>
  <c r="L19" i="9" s="1"/>
  <c r="E21" i="9"/>
  <c r="E25" i="20"/>
  <c r="E25" i="19"/>
  <c r="F26" i="10"/>
  <c r="Q26" i="11" s="1"/>
  <c r="R26" i="11" s="1"/>
  <c r="E27" i="20"/>
  <c r="E27" i="19"/>
  <c r="F28" i="10"/>
  <c r="Q28" i="11" s="1"/>
  <c r="R28" i="11" s="1"/>
  <c r="E29" i="20"/>
  <c r="E29" i="19"/>
  <c r="F30" i="10"/>
  <c r="Q30" i="11" s="1"/>
  <c r="R30" i="11" s="1"/>
  <c r="E31" i="20"/>
  <c r="E31" i="19"/>
  <c r="F32" i="10"/>
  <c r="Q32" i="11" s="1"/>
  <c r="R32" i="11" s="1"/>
  <c r="E34" i="20"/>
  <c r="E34" i="19"/>
  <c r="F35" i="10"/>
  <c r="Q35" i="11" s="1"/>
  <c r="R35" i="11" s="1"/>
  <c r="E36" i="20"/>
  <c r="E36" i="19"/>
  <c r="F37" i="10"/>
  <c r="Q37" i="11" s="1"/>
  <c r="R37" i="11" s="1"/>
  <c r="E38" i="20"/>
  <c r="E38" i="19"/>
  <c r="F39" i="10"/>
  <c r="Q39" i="11" s="1"/>
  <c r="R39" i="11" s="1"/>
  <c r="E40" i="20"/>
  <c r="E40" i="19"/>
  <c r="F41" i="10"/>
  <c r="Q41" i="11" s="1"/>
  <c r="R41" i="11" s="1"/>
  <c r="B13" i="23"/>
  <c r="C16" i="21"/>
  <c r="AG16" i="21" s="1"/>
  <c r="AH17" i="7"/>
  <c r="AI17" i="7" s="1"/>
  <c r="AK10" i="8"/>
  <c r="F9" i="9" s="1"/>
  <c r="K10" i="9"/>
  <c r="J10" i="9"/>
  <c r="L10" i="9" s="1"/>
  <c r="G10" i="9"/>
  <c r="E11" i="10"/>
  <c r="R11" i="10" s="1"/>
  <c r="E13" i="20"/>
  <c r="E13" i="19"/>
  <c r="K13" i="19" s="1"/>
  <c r="F14" i="10"/>
  <c r="K14" i="9"/>
  <c r="J14" i="9"/>
  <c r="L14" i="9" s="1"/>
  <c r="G14" i="9"/>
  <c r="E15" i="10"/>
  <c r="R15" i="10" s="1"/>
  <c r="F19" i="9"/>
  <c r="AL20" i="8"/>
  <c r="E22" i="20"/>
  <c r="E22" i="19"/>
  <c r="F23" i="10"/>
  <c r="K23" i="9"/>
  <c r="J23" i="9"/>
  <c r="G23" i="9"/>
  <c r="E24" i="10"/>
  <c r="R24" i="10" s="1"/>
  <c r="B31" i="23"/>
  <c r="E17" i="21"/>
  <c r="AG17" i="21" s="1"/>
  <c r="F18" i="19"/>
  <c r="H18" i="19" s="1"/>
  <c r="I18" i="19" s="1"/>
  <c r="I25" i="19"/>
  <c r="F23" i="22"/>
  <c r="G23" i="22" s="1"/>
  <c r="AM24" i="18"/>
  <c r="AH13" i="7"/>
  <c r="AI13" i="7" s="1"/>
  <c r="AH15" i="7"/>
  <c r="AI15" i="7" s="1"/>
  <c r="AH22" i="7"/>
  <c r="AI22" i="7" s="1"/>
  <c r="AH24" i="7"/>
  <c r="AI24" i="7" s="1"/>
  <c r="AH30" i="7"/>
  <c r="AI30" i="7" s="1"/>
  <c r="AH32" i="7"/>
  <c r="AI32" i="7" s="1"/>
  <c r="AH35" i="7"/>
  <c r="AI35" i="7" s="1"/>
  <c r="AH41" i="7"/>
  <c r="AI41" i="7" s="1"/>
  <c r="AL6" i="8"/>
  <c r="E5" i="9"/>
  <c r="AK8" i="8"/>
  <c r="F7" i="9" s="1"/>
  <c r="AK9" i="8"/>
  <c r="F8" i="9" s="1"/>
  <c r="AK13" i="8"/>
  <c r="F12" i="9" s="1"/>
  <c r="E14" i="20"/>
  <c r="E14" i="19"/>
  <c r="F15" i="10"/>
  <c r="Q15" i="11" s="1"/>
  <c r="R15" i="11" s="1"/>
  <c r="G15" i="9"/>
  <c r="E16" i="10"/>
  <c r="R16" i="10" s="1"/>
  <c r="K15" i="9"/>
  <c r="J15" i="9"/>
  <c r="L15" i="9" s="1"/>
  <c r="E16" i="9"/>
  <c r="AL17" i="8"/>
  <c r="AL18" i="8"/>
  <c r="AK22" i="8"/>
  <c r="F21" i="9" s="1"/>
  <c r="E23" i="20"/>
  <c r="E23" i="19"/>
  <c r="F24" i="10"/>
  <c r="Q24" i="11" s="1"/>
  <c r="R24" i="11" s="1"/>
  <c r="E25" i="10"/>
  <c r="R25" i="10" s="1"/>
  <c r="K24" i="9"/>
  <c r="J24" i="9"/>
  <c r="L24" i="9" s="1"/>
  <c r="E25" i="9"/>
  <c r="AL26" i="8"/>
  <c r="AL27" i="8"/>
  <c r="E27" i="9"/>
  <c r="AL28" i="8"/>
  <c r="G28" i="9"/>
  <c r="E29" i="10"/>
  <c r="R29" i="10" s="1"/>
  <c r="K28" i="9"/>
  <c r="J28" i="9"/>
  <c r="L28" i="9" s="1"/>
  <c r="E29" i="9"/>
  <c r="AL30" i="8"/>
  <c r="AL31" i="8"/>
  <c r="E31" i="9"/>
  <c r="AL32" i="8"/>
  <c r="E34" i="10"/>
  <c r="R34" i="10" s="1"/>
  <c r="K33" i="9"/>
  <c r="J33" i="9"/>
  <c r="L33" i="9" s="1"/>
  <c r="E34" i="9"/>
  <c r="AL35" i="8"/>
  <c r="AL36" i="8"/>
  <c r="E36" i="9"/>
  <c r="AL37" i="8"/>
  <c r="G37" i="9"/>
  <c r="E38" i="10"/>
  <c r="R38" i="10" s="1"/>
  <c r="K37" i="9"/>
  <c r="J37" i="9"/>
  <c r="L37" i="9" s="1"/>
  <c r="E38" i="9"/>
  <c r="AL39" i="8"/>
  <c r="AL40" i="8"/>
  <c r="E40" i="9"/>
  <c r="AL41" i="8"/>
  <c r="E42" i="10"/>
  <c r="R42" i="10" s="1"/>
  <c r="K41" i="9"/>
  <c r="J41" i="9"/>
  <c r="E5" i="20"/>
  <c r="E5" i="19"/>
  <c r="I5" i="19" s="1"/>
  <c r="F6" i="10"/>
  <c r="K6" i="9"/>
  <c r="J6" i="9"/>
  <c r="L6" i="9" s="1"/>
  <c r="G6" i="9"/>
  <c r="E7" i="10"/>
  <c r="R7" i="10" s="1"/>
  <c r="G11" i="9"/>
  <c r="E12" i="10"/>
  <c r="R12" i="10" s="1"/>
  <c r="K11" i="9"/>
  <c r="J11" i="9"/>
  <c r="L11" i="9" s="1"/>
  <c r="F15" i="9"/>
  <c r="AL16" i="8"/>
  <c r="E17" i="20"/>
  <c r="E17" i="19"/>
  <c r="F18" i="10"/>
  <c r="K18" i="9"/>
  <c r="J18" i="9"/>
  <c r="L18" i="9" s="1"/>
  <c r="G18" i="9"/>
  <c r="E19" i="10"/>
  <c r="R19" i="10" s="1"/>
  <c r="F24" i="9"/>
  <c r="AL25" i="8"/>
  <c r="E26" i="19"/>
  <c r="E26" i="20"/>
  <c r="F27" i="10"/>
  <c r="F28" i="9"/>
  <c r="AL29" i="8"/>
  <c r="E30" i="19"/>
  <c r="E30" i="20"/>
  <c r="F31" i="10"/>
  <c r="F33" i="9"/>
  <c r="AL34" i="8"/>
  <c r="E35" i="19"/>
  <c r="E35" i="20"/>
  <c r="F36" i="10"/>
  <c r="F37" i="9"/>
  <c r="AL38" i="8"/>
  <c r="E39" i="19"/>
  <c r="E39" i="20"/>
  <c r="F40" i="10"/>
  <c r="F41" i="9"/>
  <c r="AL42" i="8"/>
  <c r="K16" i="19"/>
  <c r="K25" i="19"/>
  <c r="L25" i="19"/>
  <c r="N25" i="19" s="1"/>
  <c r="K29" i="19"/>
  <c r="K34" i="19"/>
  <c r="K38" i="19"/>
  <c r="AL7" i="8"/>
  <c r="AL11" i="8"/>
  <c r="AL15" i="8"/>
  <c r="AL19" i="8"/>
  <c r="AL24" i="8"/>
  <c r="E13" i="9"/>
  <c r="E17" i="9"/>
  <c r="E22" i="9"/>
  <c r="E26" i="9"/>
  <c r="E30" i="9"/>
  <c r="E35" i="9"/>
  <c r="E39" i="9"/>
  <c r="Q17" i="10"/>
  <c r="K17" i="19"/>
  <c r="K22" i="19"/>
  <c r="Q26" i="10"/>
  <c r="Q30" i="10"/>
  <c r="K30" i="19"/>
  <c r="Q35" i="10"/>
  <c r="K35" i="19"/>
  <c r="Q39" i="10"/>
  <c r="K39" i="19"/>
  <c r="B15" i="23"/>
  <c r="C18" i="21"/>
  <c r="K6" i="19"/>
  <c r="K10" i="19"/>
  <c r="K14" i="19"/>
  <c r="K18" i="19"/>
  <c r="K23" i="19"/>
  <c r="K27" i="19"/>
  <c r="K31" i="19"/>
  <c r="K36" i="19"/>
  <c r="L36" i="19"/>
  <c r="N36" i="19" s="1"/>
  <c r="K40" i="19"/>
  <c r="AF14" i="21"/>
  <c r="AB14" i="21"/>
  <c r="X14" i="21"/>
  <c r="T14" i="21"/>
  <c r="P14" i="21"/>
  <c r="L14" i="21"/>
  <c r="H14" i="21"/>
  <c r="D14" i="21"/>
  <c r="AF13" i="21"/>
  <c r="AB13" i="21"/>
  <c r="X13" i="21"/>
  <c r="T13" i="21"/>
  <c r="P13" i="21"/>
  <c r="L13" i="21"/>
  <c r="H13" i="21"/>
  <c r="AD14" i="21"/>
  <c r="Z14" i="21"/>
  <c r="V14" i="21"/>
  <c r="R14" i="21"/>
  <c r="N14" i="21"/>
  <c r="J14" i="21"/>
  <c r="F14" i="21"/>
  <c r="AE14" i="21"/>
  <c r="W14" i="21"/>
  <c r="O14" i="21"/>
  <c r="G14" i="21"/>
  <c r="AA13" i="21"/>
  <c r="V13" i="21"/>
  <c r="K13" i="21"/>
  <c r="F13" i="21"/>
  <c r="B13" i="21"/>
  <c r="AC14" i="21"/>
  <c r="U14" i="21"/>
  <c r="M14" i="21"/>
  <c r="AE13" i="21"/>
  <c r="Z13" i="21"/>
  <c r="U13" i="21"/>
  <c r="O13" i="21"/>
  <c r="J13" i="21"/>
  <c r="AA14" i="21"/>
  <c r="S14" i="21"/>
  <c r="K14" i="21"/>
  <c r="C14" i="21"/>
  <c r="AD13" i="21"/>
  <c r="Y13" i="21"/>
  <c r="S13" i="21"/>
  <c r="N13" i="21"/>
  <c r="I13" i="21"/>
  <c r="D13" i="21"/>
  <c r="Y14" i="21"/>
  <c r="I14" i="21"/>
  <c r="B14" i="21"/>
  <c r="AC13" i="21"/>
  <c r="W13" i="21"/>
  <c r="R13" i="21"/>
  <c r="M13" i="21"/>
  <c r="G13" i="21"/>
  <c r="C13" i="21"/>
  <c r="F25" i="20"/>
  <c r="H25" i="20" s="1"/>
  <c r="Q7" i="10"/>
  <c r="Q11" i="10"/>
  <c r="K11" i="19"/>
  <c r="Q15" i="10"/>
  <c r="Q19" i="10"/>
  <c r="Q24" i="10"/>
  <c r="Q28" i="10"/>
  <c r="Q32" i="10"/>
  <c r="Q37" i="10"/>
  <c r="Q41" i="10"/>
  <c r="I5" i="22"/>
  <c r="L5" i="22"/>
  <c r="M5" i="22"/>
  <c r="I9" i="22"/>
  <c r="L9" i="22"/>
  <c r="M9" i="22"/>
  <c r="I13" i="22"/>
  <c r="L13" i="22"/>
  <c r="M13" i="22"/>
  <c r="I17" i="22"/>
  <c r="L17" i="22"/>
  <c r="M17" i="22"/>
  <c r="I21" i="22"/>
  <c r="L21" i="22"/>
  <c r="M21" i="22"/>
  <c r="I25" i="22"/>
  <c r="L25" i="22"/>
  <c r="M25" i="22"/>
  <c r="I29" i="22"/>
  <c r="L29" i="22"/>
  <c r="M29" i="22"/>
  <c r="AG8" i="21"/>
  <c r="I44" i="16"/>
  <c r="J44" i="16" s="1"/>
  <c r="M4" i="22"/>
  <c r="I4" i="22"/>
  <c r="L4" i="22"/>
  <c r="AL6" i="18"/>
  <c r="M8" i="22"/>
  <c r="I8" i="22"/>
  <c r="L8" i="22"/>
  <c r="AL10" i="18"/>
  <c r="M12" i="22"/>
  <c r="I12" i="22"/>
  <c r="L12" i="22"/>
  <c r="AL14" i="18"/>
  <c r="M16" i="22"/>
  <c r="I16" i="22"/>
  <c r="L16" i="22"/>
  <c r="AL18" i="18"/>
  <c r="M20" i="22"/>
  <c r="I20" i="22"/>
  <c r="L20" i="22"/>
  <c r="AL22" i="18"/>
  <c r="M24" i="22"/>
  <c r="I24" i="22"/>
  <c r="L24" i="22"/>
  <c r="AL26" i="18"/>
  <c r="M28" i="22"/>
  <c r="I28" i="22"/>
  <c r="L28" i="22"/>
  <c r="AL30" i="18"/>
  <c r="K33" i="15"/>
  <c r="I34" i="15"/>
  <c r="J34" i="15" s="1"/>
  <c r="K35" i="15"/>
  <c r="I36" i="15"/>
  <c r="J36" i="15" s="1"/>
  <c r="K37" i="15"/>
  <c r="I38" i="15"/>
  <c r="J38" i="15" s="1"/>
  <c r="K39" i="15"/>
  <c r="I40" i="15"/>
  <c r="J40" i="15" s="1"/>
  <c r="K41" i="15"/>
  <c r="I42" i="15"/>
  <c r="J42" i="15" s="1"/>
  <c r="K43" i="15"/>
  <c r="I44" i="15"/>
  <c r="J44" i="15" s="1"/>
  <c r="K5" i="16"/>
  <c r="L5" i="16" s="1"/>
  <c r="B32" i="23" s="1"/>
  <c r="I7" i="16"/>
  <c r="J7" i="16" s="1"/>
  <c r="K9" i="16"/>
  <c r="L9" i="16" s="1"/>
  <c r="K13" i="16"/>
  <c r="L13" i="16" s="1"/>
  <c r="I15" i="16"/>
  <c r="J15" i="16" s="1"/>
  <c r="K17" i="16"/>
  <c r="L17" i="16" s="1"/>
  <c r="I19" i="16"/>
  <c r="J19" i="16" s="1"/>
  <c r="K21" i="16"/>
  <c r="L21" i="16" s="1"/>
  <c r="I23" i="16"/>
  <c r="J23" i="16" s="1"/>
  <c r="K25" i="16"/>
  <c r="L25" i="16" s="1"/>
  <c r="I27" i="16"/>
  <c r="J27" i="16" s="1"/>
  <c r="K29" i="16"/>
  <c r="L29" i="16" s="1"/>
  <c r="I31" i="16"/>
  <c r="J31" i="16" s="1"/>
  <c r="K33" i="16"/>
  <c r="L33" i="16" s="1"/>
  <c r="I35" i="16"/>
  <c r="J35" i="16" s="1"/>
  <c r="K37" i="16"/>
  <c r="L37" i="16" s="1"/>
  <c r="I39" i="16"/>
  <c r="J39" i="16" s="1"/>
  <c r="K41" i="16"/>
  <c r="L41" i="16" s="1"/>
  <c r="I43" i="16"/>
  <c r="J43" i="16" s="1"/>
  <c r="AL5" i="18"/>
  <c r="I7" i="22"/>
  <c r="M7" i="22"/>
  <c r="L7" i="22"/>
  <c r="AL9" i="18"/>
  <c r="I11" i="22"/>
  <c r="M11" i="22"/>
  <c r="L11" i="22"/>
  <c r="AL13" i="18"/>
  <c r="AM14" i="18"/>
  <c r="I15" i="22"/>
  <c r="M15" i="22"/>
  <c r="L15" i="22"/>
  <c r="AL17" i="18"/>
  <c r="I19" i="22"/>
  <c r="M19" i="22"/>
  <c r="L19" i="22"/>
  <c r="AL21" i="18"/>
  <c r="AM22" i="18"/>
  <c r="I23" i="22"/>
  <c r="M23" i="22"/>
  <c r="L23" i="22"/>
  <c r="AL25" i="18"/>
  <c r="I27" i="22"/>
  <c r="M27" i="22"/>
  <c r="L27" i="22"/>
  <c r="AL29" i="18"/>
  <c r="AM30" i="18"/>
  <c r="B14" i="23"/>
  <c r="I6" i="16"/>
  <c r="J6" i="16" s="1"/>
  <c r="K8" i="16"/>
  <c r="L8" i="16" s="1"/>
  <c r="I10" i="16"/>
  <c r="J10" i="16" s="1"/>
  <c r="K12" i="16"/>
  <c r="L12" i="16" s="1"/>
  <c r="I14" i="16"/>
  <c r="J14" i="16" s="1"/>
  <c r="K16" i="16"/>
  <c r="L16" i="16" s="1"/>
  <c r="I18" i="16"/>
  <c r="J18" i="16" s="1"/>
  <c r="K20" i="16"/>
  <c r="L20" i="16" s="1"/>
  <c r="I22" i="16"/>
  <c r="J22" i="16" s="1"/>
  <c r="K24" i="16"/>
  <c r="L24" i="16" s="1"/>
  <c r="I26" i="16"/>
  <c r="J26" i="16" s="1"/>
  <c r="K28" i="16"/>
  <c r="L28" i="16" s="1"/>
  <c r="I30" i="16"/>
  <c r="J30" i="16" s="1"/>
  <c r="K32" i="16"/>
  <c r="L32" i="16" s="1"/>
  <c r="I34" i="16"/>
  <c r="J34" i="16" s="1"/>
  <c r="K36" i="16"/>
  <c r="L36" i="16" s="1"/>
  <c r="I38" i="16"/>
  <c r="J38" i="16" s="1"/>
  <c r="K40" i="16"/>
  <c r="L40" i="16" s="1"/>
  <c r="I42" i="16"/>
  <c r="J42" i="16" s="1"/>
  <c r="AD5" i="21"/>
  <c r="Z5" i="21"/>
  <c r="V5" i="21"/>
  <c r="R5" i="21"/>
  <c r="N5" i="21"/>
  <c r="J5" i="21"/>
  <c r="F5" i="21"/>
  <c r="B5" i="21"/>
  <c r="AD4" i="21"/>
  <c r="AD6" i="21" s="1"/>
  <c r="AD9" i="21" s="1"/>
  <c r="Z4" i="21"/>
  <c r="Z6" i="21" s="1"/>
  <c r="Z9" i="21" s="1"/>
  <c r="V4" i="21"/>
  <c r="V6" i="21" s="1"/>
  <c r="V9" i="21" s="1"/>
  <c r="R4" i="21"/>
  <c r="R6" i="21" s="1"/>
  <c r="R9" i="21" s="1"/>
  <c r="N4" i="21"/>
  <c r="N6" i="21" s="1"/>
  <c r="N9" i="21" s="1"/>
  <c r="J4" i="21"/>
  <c r="J6" i="21" s="1"/>
  <c r="J9" i="21" s="1"/>
  <c r="F4" i="21"/>
  <c r="F6" i="21" s="1"/>
  <c r="F9" i="21" s="1"/>
  <c r="B4" i="21"/>
  <c r="AC5" i="21"/>
  <c r="Y5" i="21"/>
  <c r="U5" i="21"/>
  <c r="Q5" i="21"/>
  <c r="M5" i="21"/>
  <c r="I5" i="21"/>
  <c r="E5" i="21"/>
  <c r="AC4" i="21"/>
  <c r="Y4" i="21"/>
  <c r="U4" i="21"/>
  <c r="Q4" i="21"/>
  <c r="M4" i="21"/>
  <c r="I4" i="21"/>
  <c r="E4" i="21"/>
  <c r="AF5" i="21"/>
  <c r="AB5" i="21"/>
  <c r="X5" i="21"/>
  <c r="T5" i="21"/>
  <c r="P5" i="21"/>
  <c r="L5" i="21"/>
  <c r="H5" i="21"/>
  <c r="D5" i="21"/>
  <c r="AF4" i="21"/>
  <c r="AF6" i="21" s="1"/>
  <c r="AF9" i="21" s="1"/>
  <c r="AB4" i="21"/>
  <c r="AB6" i="21" s="1"/>
  <c r="AB9" i="21" s="1"/>
  <c r="X4" i="21"/>
  <c r="X6" i="21" s="1"/>
  <c r="X9" i="21" s="1"/>
  <c r="T4" i="21"/>
  <c r="P4" i="21"/>
  <c r="P6" i="21" s="1"/>
  <c r="P9" i="21" s="1"/>
  <c r="L4" i="21"/>
  <c r="L6" i="21" s="1"/>
  <c r="L9" i="21" s="1"/>
  <c r="H4" i="21"/>
  <c r="H6" i="21" s="1"/>
  <c r="H9" i="21" s="1"/>
  <c r="D4" i="21"/>
  <c r="AE5" i="21"/>
  <c r="AA5" i="21"/>
  <c r="W5" i="21"/>
  <c r="S5" i="21"/>
  <c r="O5" i="21"/>
  <c r="K5" i="21"/>
  <c r="G5" i="21"/>
  <c r="C5" i="21"/>
  <c r="AE4" i="21"/>
  <c r="AA4" i="21"/>
  <c r="AA6" i="21" s="1"/>
  <c r="AA9" i="21" s="1"/>
  <c r="W4" i="21"/>
  <c r="W6" i="21" s="1"/>
  <c r="W9" i="21" s="1"/>
  <c r="S4" i="21"/>
  <c r="S6" i="21" s="1"/>
  <c r="S9" i="21" s="1"/>
  <c r="O4" i="21"/>
  <c r="O6" i="21" s="1"/>
  <c r="O9" i="21" s="1"/>
  <c r="K4" i="21"/>
  <c r="G4" i="21"/>
  <c r="G6" i="21" s="1"/>
  <c r="G9" i="21" s="1"/>
  <c r="C4" i="21"/>
  <c r="C6" i="21" s="1"/>
  <c r="C9" i="21" s="1"/>
  <c r="M6" i="22"/>
  <c r="I6" i="22"/>
  <c r="L6" i="22"/>
  <c r="AL8" i="18"/>
  <c r="AM9" i="18"/>
  <c r="M10" i="22"/>
  <c r="I10" i="22"/>
  <c r="L10" i="22"/>
  <c r="AL12" i="18"/>
  <c r="M14" i="22"/>
  <c r="I14" i="22"/>
  <c r="L14" i="22"/>
  <c r="AL16" i="18"/>
  <c r="M18" i="22"/>
  <c r="I18" i="22"/>
  <c r="L18" i="22"/>
  <c r="AL20" i="18"/>
  <c r="M22" i="22"/>
  <c r="I22" i="22"/>
  <c r="L22" i="22"/>
  <c r="N22" i="22" s="1"/>
  <c r="AL24" i="18"/>
  <c r="AM25" i="18"/>
  <c r="M26" i="22"/>
  <c r="I26" i="22"/>
  <c r="L26" i="22"/>
  <c r="AL28" i="18"/>
  <c r="AM29" i="18"/>
  <c r="AG7" i="21"/>
  <c r="AG18" i="21"/>
  <c r="AM27" i="18" l="1"/>
  <c r="AM8" i="18"/>
  <c r="K5" i="19"/>
  <c r="AM21" i="18"/>
  <c r="H25" i="22"/>
  <c r="K6" i="15"/>
  <c r="AM7" i="18"/>
  <c r="E5" i="18"/>
  <c r="F4" i="22" s="1"/>
  <c r="F6" i="22"/>
  <c r="H6" i="22" s="1"/>
  <c r="I36" i="19"/>
  <c r="N47" i="6"/>
  <c r="N32" i="6"/>
  <c r="N34" i="6"/>
  <c r="N33" i="6"/>
  <c r="L16" i="19"/>
  <c r="N16" i="19" s="1"/>
  <c r="F15" i="20"/>
  <c r="H15" i="20" s="1"/>
  <c r="I15" i="20" s="1"/>
  <c r="M6" i="21"/>
  <c r="M9" i="21" s="1"/>
  <c r="AC6" i="21"/>
  <c r="AC9" i="21" s="1"/>
  <c r="F21" i="19"/>
  <c r="H21" i="19" s="1"/>
  <c r="L21" i="19" s="1"/>
  <c r="N21" i="19" s="1"/>
  <c r="R10" i="21"/>
  <c r="G16" i="22"/>
  <c r="H5" i="22"/>
  <c r="G12" i="22"/>
  <c r="F31" i="20"/>
  <c r="H31" i="20" s="1"/>
  <c r="J31" i="20" s="1"/>
  <c r="K31" i="20" s="1"/>
  <c r="N45" i="6"/>
  <c r="N8" i="6"/>
  <c r="G15" i="22"/>
  <c r="H15" i="22"/>
  <c r="F22" i="20"/>
  <c r="H22" i="20" s="1"/>
  <c r="I22" i="20" s="1"/>
  <c r="I22" i="19"/>
  <c r="M22" i="19" s="1"/>
  <c r="N26" i="6"/>
  <c r="AM16" i="18"/>
  <c r="N5" i="6"/>
  <c r="AM6" i="18"/>
  <c r="AM15" i="18"/>
  <c r="N39" i="6"/>
  <c r="N4" i="6"/>
  <c r="N7" i="6"/>
  <c r="F7" i="19"/>
  <c r="H7" i="19" s="1"/>
  <c r="F7" i="20" s="1"/>
  <c r="H7" i="20" s="1"/>
  <c r="J7" i="20" s="1"/>
  <c r="K7" i="20" s="1"/>
  <c r="N6" i="6"/>
  <c r="F11" i="19"/>
  <c r="H11" i="19" s="1"/>
  <c r="F11" i="20" s="1"/>
  <c r="H11" i="20" s="1"/>
  <c r="J35" i="20"/>
  <c r="K35" i="20" s="1"/>
  <c r="I35" i="20"/>
  <c r="G11" i="22"/>
  <c r="H11" i="22"/>
  <c r="G7" i="22"/>
  <c r="H7" i="22"/>
  <c r="T11" i="21"/>
  <c r="AM10" i="18"/>
  <c r="I35" i="19"/>
  <c r="M35" i="19" s="1"/>
  <c r="L33" i="19"/>
  <c r="N33" i="19" s="1"/>
  <c r="I34" i="19"/>
  <c r="M34" i="19" s="1"/>
  <c r="I31" i="19"/>
  <c r="M31" i="19" s="1"/>
  <c r="F39" i="19"/>
  <c r="H27" i="22"/>
  <c r="AM17" i="18"/>
  <c r="AM26" i="18"/>
  <c r="F34" i="20"/>
  <c r="H34" i="20" s="1"/>
  <c r="J34" i="20" s="1"/>
  <c r="K34" i="20" s="1"/>
  <c r="N46" i="6"/>
  <c r="G24" i="19" s="1"/>
  <c r="AM12" i="18"/>
  <c r="H9" i="22"/>
  <c r="F8" i="19"/>
  <c r="H8" i="19" s="1"/>
  <c r="L8" i="19" s="1"/>
  <c r="N8" i="19" s="1"/>
  <c r="F6" i="19"/>
  <c r="H6" i="19" s="1"/>
  <c r="L6" i="19" s="1"/>
  <c r="N6" i="19" s="1"/>
  <c r="H23" i="22"/>
  <c r="AM13" i="18"/>
  <c r="L35" i="19"/>
  <c r="N35" i="19" s="1"/>
  <c r="F9" i="19"/>
  <c r="F26" i="19"/>
  <c r="H26" i="19" s="1"/>
  <c r="L18" i="19"/>
  <c r="N18" i="19" s="1"/>
  <c r="Q10" i="21"/>
  <c r="AM18" i="18"/>
  <c r="F18" i="20"/>
  <c r="H18" i="20" s="1"/>
  <c r="J18" i="20" s="1"/>
  <c r="K18" i="20" s="1"/>
  <c r="M18" i="19"/>
  <c r="M16" i="19"/>
  <c r="N28" i="6"/>
  <c r="N57" i="6"/>
  <c r="AM11" i="18"/>
  <c r="H19" i="22"/>
  <c r="AB11" i="21"/>
  <c r="F16" i="20"/>
  <c r="H16" i="20" s="1"/>
  <c r="J16" i="20" s="1"/>
  <c r="K16" i="20" s="1"/>
  <c r="L23" i="19"/>
  <c r="N23" i="19" s="1"/>
  <c r="I23" i="19"/>
  <c r="M23" i="19" s="1"/>
  <c r="N27" i="6"/>
  <c r="H17" i="22"/>
  <c r="N59" i="6"/>
  <c r="F10" i="22"/>
  <c r="G10" i="22" s="1"/>
  <c r="F13" i="19"/>
  <c r="AF10" i="21"/>
  <c r="J36" i="20"/>
  <c r="K36" i="20" s="1"/>
  <c r="N42" i="6"/>
  <c r="F17" i="19"/>
  <c r="N64" i="6"/>
  <c r="G27" i="19" s="1"/>
  <c r="H27" i="19" s="1"/>
  <c r="N65" i="6"/>
  <c r="N63" i="6"/>
  <c r="N51" i="6"/>
  <c r="G17" i="19" s="1"/>
  <c r="N54" i="6"/>
  <c r="N52" i="6"/>
  <c r="G19" i="19" s="1"/>
  <c r="H19" i="19" s="1"/>
  <c r="N53" i="6"/>
  <c r="G41" i="19" s="1"/>
  <c r="H41" i="19" s="1"/>
  <c r="K6" i="21"/>
  <c r="K9" i="21" s="1"/>
  <c r="Q6" i="21"/>
  <c r="Q9" i="21" s="1"/>
  <c r="E6" i="21"/>
  <c r="E9" i="21" s="1"/>
  <c r="U6" i="21"/>
  <c r="U9" i="21" s="1"/>
  <c r="F30" i="20"/>
  <c r="H30" i="20" s="1"/>
  <c r="J30" i="20" s="1"/>
  <c r="K30" i="20" s="1"/>
  <c r="I30" i="19"/>
  <c r="M30" i="19" s="1"/>
  <c r="N58" i="6"/>
  <c r="G10" i="19" s="1"/>
  <c r="H10" i="19" s="1"/>
  <c r="N38" i="6"/>
  <c r="H5" i="19" s="1"/>
  <c r="F5" i="20" s="1"/>
  <c r="H5" i="20" s="1"/>
  <c r="N41" i="6"/>
  <c r="F29" i="19"/>
  <c r="H29" i="19" s="1"/>
  <c r="L24" i="6"/>
  <c r="M24" i="6" s="1"/>
  <c r="AE6" i="21"/>
  <c r="AE9" i="21" s="1"/>
  <c r="M25" i="19"/>
  <c r="F24" i="19"/>
  <c r="L17" i="6"/>
  <c r="M17" i="6" s="1"/>
  <c r="D6" i="21"/>
  <c r="D9" i="21" s="1"/>
  <c r="B6" i="21"/>
  <c r="AG4" i="21"/>
  <c r="J13" i="1"/>
  <c r="AG5" i="21"/>
  <c r="N27" i="22"/>
  <c r="N11" i="22"/>
  <c r="A49" i="1"/>
  <c r="C48" i="1"/>
  <c r="A47" i="1"/>
  <c r="C46" i="1"/>
  <c r="A45" i="1"/>
  <c r="B48" i="1"/>
  <c r="B46" i="1"/>
  <c r="B47" i="1"/>
  <c r="B45" i="1"/>
  <c r="C49" i="1"/>
  <c r="A48" i="1"/>
  <c r="C47" i="1"/>
  <c r="A46" i="1"/>
  <c r="C45" i="1"/>
  <c r="B49" i="1"/>
  <c r="N21" i="22"/>
  <c r="N5" i="22"/>
  <c r="I31" i="20"/>
  <c r="J23" i="20"/>
  <c r="K23" i="20" s="1"/>
  <c r="I23" i="20"/>
  <c r="M21" i="21"/>
  <c r="M15" i="21"/>
  <c r="M23" i="21" s="1"/>
  <c r="B22" i="21"/>
  <c r="D21" i="21"/>
  <c r="D15" i="21"/>
  <c r="Y21" i="21"/>
  <c r="Y15" i="21"/>
  <c r="S22" i="21"/>
  <c r="O21" i="21"/>
  <c r="O15" i="21"/>
  <c r="O23" i="21" s="1"/>
  <c r="B21" i="21"/>
  <c r="B15" i="21"/>
  <c r="V21" i="21"/>
  <c r="V15" i="21"/>
  <c r="V23" i="21" s="1"/>
  <c r="W22" i="21"/>
  <c r="N22" i="21"/>
  <c r="AD22" i="21"/>
  <c r="T21" i="21"/>
  <c r="T15" i="21"/>
  <c r="D22" i="21"/>
  <c r="T22" i="21"/>
  <c r="E36" i="10"/>
  <c r="R36" i="10" s="1"/>
  <c r="G35" i="9"/>
  <c r="K35" i="9"/>
  <c r="J35" i="9"/>
  <c r="E18" i="10"/>
  <c r="R18" i="10" s="1"/>
  <c r="G17" i="9"/>
  <c r="K17" i="9"/>
  <c r="J17" i="9"/>
  <c r="L17" i="9" s="1"/>
  <c r="E41" i="19"/>
  <c r="K41" i="19" s="1"/>
  <c r="E41" i="20"/>
  <c r="F42" i="10"/>
  <c r="Q27" i="11"/>
  <c r="R27" i="11" s="1"/>
  <c r="Q27" i="10"/>
  <c r="E24" i="20"/>
  <c r="E24" i="19"/>
  <c r="K24" i="19" s="1"/>
  <c r="F25" i="10"/>
  <c r="K36" i="9"/>
  <c r="J36" i="9"/>
  <c r="G36" i="9"/>
  <c r="E37" i="10"/>
  <c r="R37" i="10" s="1"/>
  <c r="K29" i="9"/>
  <c r="E30" i="10"/>
  <c r="R30" i="10" s="1"/>
  <c r="J29" i="9"/>
  <c r="L29" i="9" s="1"/>
  <c r="G29" i="9"/>
  <c r="K16" i="9"/>
  <c r="E17" i="10"/>
  <c r="R17" i="10" s="1"/>
  <c r="J16" i="9"/>
  <c r="L16" i="9" s="1"/>
  <c r="G16" i="9"/>
  <c r="E12" i="20"/>
  <c r="E12" i="19"/>
  <c r="K12" i="19" s="1"/>
  <c r="F13" i="10"/>
  <c r="K21" i="9"/>
  <c r="E22" i="10"/>
  <c r="R22" i="10" s="1"/>
  <c r="J21" i="9"/>
  <c r="L21" i="9" s="1"/>
  <c r="G21" i="9"/>
  <c r="K12" i="9"/>
  <c r="E13" i="10"/>
  <c r="R13" i="10" s="1"/>
  <c r="J12" i="9"/>
  <c r="L12" i="9" s="1"/>
  <c r="G12" i="9"/>
  <c r="K8" i="9"/>
  <c r="E9" i="10"/>
  <c r="R9" i="10" s="1"/>
  <c r="J8" i="9"/>
  <c r="L8" i="9" s="1"/>
  <c r="G8" i="9"/>
  <c r="H22" i="22"/>
  <c r="G22" i="22"/>
  <c r="H14" i="22"/>
  <c r="G14" i="22"/>
  <c r="N6" i="22"/>
  <c r="T6" i="21"/>
  <c r="T9" i="21" s="1"/>
  <c r="N18" i="22"/>
  <c r="I6" i="21"/>
  <c r="I9" i="21" s="1"/>
  <c r="Y6" i="21"/>
  <c r="Y9" i="21" s="1"/>
  <c r="N23" i="22"/>
  <c r="N7" i="22"/>
  <c r="N25" i="22"/>
  <c r="N9" i="22"/>
  <c r="R21" i="21"/>
  <c r="R15" i="21"/>
  <c r="R23" i="21" s="1"/>
  <c r="I22" i="21"/>
  <c r="I21" i="21"/>
  <c r="I15" i="21"/>
  <c r="AD21" i="21"/>
  <c r="AD15" i="21"/>
  <c r="AD23" i="21" s="1"/>
  <c r="AA22" i="21"/>
  <c r="U21" i="21"/>
  <c r="U15" i="21"/>
  <c r="U23" i="21" s="1"/>
  <c r="M22" i="21"/>
  <c r="F21" i="21"/>
  <c r="F15" i="21"/>
  <c r="F23" i="21" s="1"/>
  <c r="AA21" i="21"/>
  <c r="AA15" i="21"/>
  <c r="AA23" i="21" s="1"/>
  <c r="AE22" i="21"/>
  <c r="R22" i="21"/>
  <c r="H15" i="21"/>
  <c r="H23" i="21" s="1"/>
  <c r="H21" i="21"/>
  <c r="X15" i="21"/>
  <c r="X23" i="21" s="1"/>
  <c r="X21" i="21"/>
  <c r="H22" i="21"/>
  <c r="X22" i="21"/>
  <c r="E31" i="10"/>
  <c r="R31" i="10" s="1"/>
  <c r="G30" i="9"/>
  <c r="K30" i="9"/>
  <c r="J30" i="9"/>
  <c r="L30" i="9" s="1"/>
  <c r="E14" i="10"/>
  <c r="R14" i="10" s="1"/>
  <c r="G13" i="9"/>
  <c r="K13" i="9"/>
  <c r="J13" i="9"/>
  <c r="L13" i="9" s="1"/>
  <c r="Q40" i="11"/>
  <c r="R40" i="11" s="1"/>
  <c r="Q40" i="10"/>
  <c r="E37" i="19"/>
  <c r="K37" i="19" s="1"/>
  <c r="E37" i="20"/>
  <c r="F38" i="10"/>
  <c r="Q18" i="11"/>
  <c r="R18" i="11" s="1"/>
  <c r="Q18" i="10"/>
  <c r="E15" i="20"/>
  <c r="E15" i="19"/>
  <c r="F16" i="10"/>
  <c r="G41" i="9"/>
  <c r="K31" i="9"/>
  <c r="J31" i="9"/>
  <c r="L31" i="9" s="1"/>
  <c r="G31" i="9"/>
  <c r="E32" i="10"/>
  <c r="R32" i="10" s="1"/>
  <c r="K25" i="9"/>
  <c r="E26" i="10"/>
  <c r="R26" i="10" s="1"/>
  <c r="J25" i="9"/>
  <c r="G25" i="9"/>
  <c r="G24" i="9"/>
  <c r="E21" i="20"/>
  <c r="E21" i="19"/>
  <c r="F22" i="10"/>
  <c r="E8" i="20"/>
  <c r="E8" i="19"/>
  <c r="K8" i="19" s="1"/>
  <c r="F9" i="10"/>
  <c r="E10" i="10"/>
  <c r="R10" i="10" s="1"/>
  <c r="G9" i="9"/>
  <c r="K9" i="9"/>
  <c r="J9" i="9"/>
  <c r="L9" i="9" s="1"/>
  <c r="H24" i="22"/>
  <c r="G24" i="22"/>
  <c r="N14" i="22"/>
  <c r="N19" i="22"/>
  <c r="N28" i="22"/>
  <c r="N24" i="22"/>
  <c r="N20" i="22"/>
  <c r="N16" i="22"/>
  <c r="N12" i="22"/>
  <c r="N8" i="22"/>
  <c r="N4" i="22"/>
  <c r="N29" i="22"/>
  <c r="N13" i="22"/>
  <c r="J25" i="20"/>
  <c r="K25" i="20" s="1"/>
  <c r="I25" i="20"/>
  <c r="C21" i="21"/>
  <c r="C15" i="21"/>
  <c r="C23" i="21" s="1"/>
  <c r="W21" i="21"/>
  <c r="W15" i="21"/>
  <c r="W23" i="21" s="1"/>
  <c r="N21" i="21"/>
  <c r="N15" i="21"/>
  <c r="N23" i="21" s="1"/>
  <c r="C22" i="21"/>
  <c r="Z21" i="21"/>
  <c r="Z15" i="21"/>
  <c r="Z23" i="21" s="1"/>
  <c r="U22" i="21"/>
  <c r="K21" i="21"/>
  <c r="K15" i="21"/>
  <c r="K23" i="21" s="1"/>
  <c r="G22" i="21"/>
  <c r="F22" i="21"/>
  <c r="V22" i="21"/>
  <c r="L15" i="21"/>
  <c r="L23" i="21" s="1"/>
  <c r="L21" i="21"/>
  <c r="AB15" i="21"/>
  <c r="AB23" i="21" s="1"/>
  <c r="AB21" i="21"/>
  <c r="L22" i="21"/>
  <c r="AB22" i="21"/>
  <c r="E27" i="10"/>
  <c r="R27" i="10" s="1"/>
  <c r="G26" i="9"/>
  <c r="K26" i="9"/>
  <c r="J26" i="9"/>
  <c r="L26" i="9" s="1"/>
  <c r="Q36" i="11"/>
  <c r="R36" i="11" s="1"/>
  <c r="Q36" i="10"/>
  <c r="E33" i="19"/>
  <c r="E33" i="20"/>
  <c r="F34" i="10"/>
  <c r="Q6" i="11"/>
  <c r="R6" i="11" s="1"/>
  <c r="Q6" i="10"/>
  <c r="K47" i="10"/>
  <c r="L41" i="9"/>
  <c r="K38" i="9"/>
  <c r="E39" i="10"/>
  <c r="R39" i="10" s="1"/>
  <c r="J38" i="9"/>
  <c r="G38" i="9"/>
  <c r="K27" i="9"/>
  <c r="J27" i="9"/>
  <c r="G27" i="9"/>
  <c r="E28" i="10"/>
  <c r="R28" i="10" s="1"/>
  <c r="E7" i="20"/>
  <c r="E7" i="19"/>
  <c r="K7" i="19" s="1"/>
  <c r="F8" i="10"/>
  <c r="O46" i="10" s="1"/>
  <c r="Q23" i="11"/>
  <c r="R23" i="11" s="1"/>
  <c r="Q23" i="10"/>
  <c r="E19" i="20"/>
  <c r="E19" i="19"/>
  <c r="K19" i="19" s="1"/>
  <c r="F20" i="10"/>
  <c r="E9" i="20"/>
  <c r="E9" i="19"/>
  <c r="K9" i="19" s="1"/>
  <c r="F10" i="10"/>
  <c r="H46" i="10" s="1"/>
  <c r="Q13" i="21" s="1"/>
  <c r="Q12" i="11"/>
  <c r="R12" i="11" s="1"/>
  <c r="Q12" i="10"/>
  <c r="AL10" i="8"/>
  <c r="N26" i="22"/>
  <c r="N10" i="22"/>
  <c r="AD20" i="21"/>
  <c r="N15" i="22"/>
  <c r="G19" i="1"/>
  <c r="N17" i="22"/>
  <c r="J33" i="20"/>
  <c r="K33" i="20" s="1"/>
  <c r="I33" i="20"/>
  <c r="J15" i="20"/>
  <c r="K15" i="20" s="1"/>
  <c r="G21" i="21"/>
  <c r="G15" i="21"/>
  <c r="G23" i="21" s="1"/>
  <c r="AC21" i="21"/>
  <c r="AC15" i="21"/>
  <c r="AC23" i="21" s="1"/>
  <c r="Y22" i="21"/>
  <c r="S21" i="21"/>
  <c r="S15" i="21"/>
  <c r="S23" i="21" s="1"/>
  <c r="K22" i="21"/>
  <c r="J21" i="21"/>
  <c r="J15" i="21"/>
  <c r="J23" i="21" s="1"/>
  <c r="AE21" i="21"/>
  <c r="AE15" i="21"/>
  <c r="AE23" i="21" s="1"/>
  <c r="AC22" i="21"/>
  <c r="O22" i="21"/>
  <c r="J22" i="21"/>
  <c r="Z22" i="21"/>
  <c r="P15" i="21"/>
  <c r="P23" i="21" s="1"/>
  <c r="P21" i="21"/>
  <c r="AF15" i="21"/>
  <c r="AF23" i="21" s="1"/>
  <c r="AF21" i="21"/>
  <c r="P22" i="21"/>
  <c r="AF22" i="21"/>
  <c r="M36" i="19"/>
  <c r="K26" i="19"/>
  <c r="E40" i="10"/>
  <c r="R40" i="10" s="1"/>
  <c r="G39" i="9"/>
  <c r="K39" i="9"/>
  <c r="J39" i="9"/>
  <c r="L39" i="9" s="1"/>
  <c r="E23" i="10"/>
  <c r="R23" i="10" s="1"/>
  <c r="G22" i="9"/>
  <c r="K22" i="9"/>
  <c r="J22" i="9"/>
  <c r="L22" i="9" s="1"/>
  <c r="Q31" i="11"/>
  <c r="R31" i="11" s="1"/>
  <c r="Q31" i="10"/>
  <c r="E28" i="19"/>
  <c r="K28" i="19" s="1"/>
  <c r="E28" i="20"/>
  <c r="F29" i="10"/>
  <c r="K40" i="9"/>
  <c r="J40" i="9"/>
  <c r="L40" i="9" s="1"/>
  <c r="G40" i="9"/>
  <c r="E41" i="10"/>
  <c r="R41" i="10" s="1"/>
  <c r="K34" i="9"/>
  <c r="E35" i="10"/>
  <c r="R35" i="10" s="1"/>
  <c r="J34" i="9"/>
  <c r="L34" i="9" s="1"/>
  <c r="G34" i="9"/>
  <c r="G33" i="9"/>
  <c r="E6" i="10"/>
  <c r="R6" i="10" s="1"/>
  <c r="G5" i="9"/>
  <c r="K5" i="9"/>
  <c r="J5" i="9"/>
  <c r="L23" i="9" s="1"/>
  <c r="Q14" i="11"/>
  <c r="R14" i="11" s="1"/>
  <c r="Q14" i="10"/>
  <c r="AL8" i="8"/>
  <c r="AL22" i="8"/>
  <c r="AL13" i="8"/>
  <c r="AL9" i="8"/>
  <c r="H18" i="22"/>
  <c r="G18" i="22"/>
  <c r="H26" i="22"/>
  <c r="G26" i="22"/>
  <c r="AE10" i="21" l="1"/>
  <c r="AA11" i="21"/>
  <c r="AD10" i="21"/>
  <c r="Z11" i="21"/>
  <c r="X10" i="21"/>
  <c r="G10" i="21"/>
  <c r="Y10" i="21"/>
  <c r="Y11" i="21"/>
  <c r="V10" i="21"/>
  <c r="D10" i="21"/>
  <c r="I10" i="21"/>
  <c r="O10" i="21"/>
  <c r="J11" i="21"/>
  <c r="K11" i="21"/>
  <c r="F10" i="21"/>
  <c r="B10" i="21"/>
  <c r="B12" i="21" s="1"/>
  <c r="S11" i="21"/>
  <c r="O20" i="21"/>
  <c r="Y20" i="21"/>
  <c r="AC11" i="21"/>
  <c r="AF11" i="21"/>
  <c r="AF12" i="21" s="1"/>
  <c r="AE11" i="21"/>
  <c r="AE12" i="21" s="1"/>
  <c r="H10" i="21"/>
  <c r="Z10" i="21"/>
  <c r="U10" i="21"/>
  <c r="AB10" i="21"/>
  <c r="AB12" i="21" s="1"/>
  <c r="AA10" i="21"/>
  <c r="V11" i="21"/>
  <c r="V12" i="21" s="1"/>
  <c r="U11" i="21"/>
  <c r="H11" i="21"/>
  <c r="T10" i="21"/>
  <c r="AD11" i="21"/>
  <c r="R11" i="21"/>
  <c r="R12" i="21" s="1"/>
  <c r="B11" i="21"/>
  <c r="M10" i="21"/>
  <c r="D11" i="21"/>
  <c r="N20" i="21"/>
  <c r="C20" i="21"/>
  <c r="N10" i="21"/>
  <c r="P10" i="21"/>
  <c r="P12" i="21" s="1"/>
  <c r="I11" i="21"/>
  <c r="I12" i="21" s="1"/>
  <c r="L11" i="21"/>
  <c r="G11" i="21"/>
  <c r="X11" i="21"/>
  <c r="X12" i="21" s="1"/>
  <c r="C10" i="21"/>
  <c r="I20" i="21"/>
  <c r="N11" i="21"/>
  <c r="M11" i="21"/>
  <c r="P11" i="21"/>
  <c r="O11" i="21"/>
  <c r="W10" i="21"/>
  <c r="J10" i="21"/>
  <c r="J12" i="21" s="1"/>
  <c r="E10" i="21"/>
  <c r="L10" i="21"/>
  <c r="L12" i="21" s="1"/>
  <c r="K10" i="21"/>
  <c r="F11" i="21"/>
  <c r="F12" i="21" s="1"/>
  <c r="E11" i="21"/>
  <c r="W11" i="21"/>
  <c r="W12" i="21" s="1"/>
  <c r="S10" i="21"/>
  <c r="Q11" i="21"/>
  <c r="Q12" i="21" s="1"/>
  <c r="AC10" i="21"/>
  <c r="C11" i="21"/>
  <c r="Z20" i="21"/>
  <c r="K20" i="21"/>
  <c r="W20" i="21"/>
  <c r="M20" i="21"/>
  <c r="V20" i="21"/>
  <c r="D12" i="21"/>
  <c r="D20" i="21"/>
  <c r="H4" i="22"/>
  <c r="J26" i="22" s="1"/>
  <c r="K26" i="22" s="1"/>
  <c r="G4" i="22"/>
  <c r="G6" i="22"/>
  <c r="H10" i="22"/>
  <c r="AM5" i="18"/>
  <c r="L11" i="19"/>
  <c r="N11" i="19" s="1"/>
  <c r="AD12" i="21"/>
  <c r="I34" i="20"/>
  <c r="F21" i="20"/>
  <c r="H21" i="20" s="1"/>
  <c r="I21" i="20" s="1"/>
  <c r="I18" i="20"/>
  <c r="G9" i="19"/>
  <c r="H9" i="19" s="1"/>
  <c r="I9" i="19" s="1"/>
  <c r="M9" i="19" s="1"/>
  <c r="J22" i="20"/>
  <c r="K22" i="20" s="1"/>
  <c r="I8" i="19"/>
  <c r="M12" i="21"/>
  <c r="I16" i="20"/>
  <c r="I11" i="19"/>
  <c r="M11" i="19" s="1"/>
  <c r="L7" i="19"/>
  <c r="N7" i="19" s="1"/>
  <c r="F8" i="20"/>
  <c r="H8" i="20" s="1"/>
  <c r="J8" i="20" s="1"/>
  <c r="K8" i="20" s="1"/>
  <c r="J11" i="20"/>
  <c r="K11" i="20" s="1"/>
  <c r="I11" i="20"/>
  <c r="H24" i="19"/>
  <c r="L24" i="19" s="1"/>
  <c r="N24" i="19" s="1"/>
  <c r="G28" i="19"/>
  <c r="H28" i="19" s="1"/>
  <c r="I28" i="19" s="1"/>
  <c r="M28" i="19" s="1"/>
  <c r="T12" i="21"/>
  <c r="I7" i="20"/>
  <c r="S12" i="21"/>
  <c r="G39" i="19"/>
  <c r="H39" i="19" s="1"/>
  <c r="L39" i="19" s="1"/>
  <c r="N39" i="19" s="1"/>
  <c r="N12" i="21"/>
  <c r="O12" i="21"/>
  <c r="G12" i="21"/>
  <c r="AC12" i="21"/>
  <c r="F41" i="20"/>
  <c r="H41" i="20" s="1"/>
  <c r="J41" i="20" s="1"/>
  <c r="K41" i="20" s="1"/>
  <c r="I41" i="19"/>
  <c r="M41" i="19" s="1"/>
  <c r="L26" i="19"/>
  <c r="N26" i="19" s="1"/>
  <c r="F26" i="20"/>
  <c r="H26" i="20" s="1"/>
  <c r="F6" i="20"/>
  <c r="H6" i="20" s="1"/>
  <c r="I6" i="19"/>
  <c r="M6" i="19" s="1"/>
  <c r="J21" i="20"/>
  <c r="K21" i="20" s="1"/>
  <c r="I26" i="19"/>
  <c r="M26" i="19" s="1"/>
  <c r="L19" i="19"/>
  <c r="N19" i="19" s="1"/>
  <c r="F19" i="20"/>
  <c r="H19" i="20" s="1"/>
  <c r="J19" i="20" s="1"/>
  <c r="K19" i="20" s="1"/>
  <c r="I30" i="20"/>
  <c r="L5" i="19"/>
  <c r="N5" i="19" s="1"/>
  <c r="L41" i="19"/>
  <c r="N41" i="19" s="1"/>
  <c r="M5" i="19"/>
  <c r="H17" i="19"/>
  <c r="Z12" i="21"/>
  <c r="AA12" i="21"/>
  <c r="T23" i="21"/>
  <c r="N21" i="6"/>
  <c r="N19" i="6"/>
  <c r="N22" i="6"/>
  <c r="N23" i="6"/>
  <c r="G14" i="19" s="1"/>
  <c r="H14" i="19" s="1"/>
  <c r="I14" i="19" s="1"/>
  <c r="M14" i="19" s="1"/>
  <c r="N20" i="6"/>
  <c r="I29" i="19"/>
  <c r="M29" i="19" s="1"/>
  <c r="L29" i="19"/>
  <c r="N29" i="19" s="1"/>
  <c r="F29" i="20"/>
  <c r="H29" i="20" s="1"/>
  <c r="I27" i="19"/>
  <c r="M27" i="19" s="1"/>
  <c r="L27" i="19"/>
  <c r="N27" i="19" s="1"/>
  <c r="F27" i="20"/>
  <c r="H27" i="20" s="1"/>
  <c r="I23" i="21"/>
  <c r="N15" i="6"/>
  <c r="G38" i="19" s="1"/>
  <c r="H38" i="19" s="1"/>
  <c r="F38" i="20" s="1"/>
  <c r="H38" i="20" s="1"/>
  <c r="N12" i="6"/>
  <c r="G12" i="19" s="1"/>
  <c r="H12" i="19" s="1"/>
  <c r="L12" i="19" s="1"/>
  <c r="N12" i="19" s="1"/>
  <c r="N13" i="6"/>
  <c r="N16" i="6"/>
  <c r="N14" i="6"/>
  <c r="Q21" i="21"/>
  <c r="Q20" i="11"/>
  <c r="R20" i="11" s="1"/>
  <c r="Q20" i="10"/>
  <c r="N46" i="10"/>
  <c r="K46" i="10"/>
  <c r="L36" i="9"/>
  <c r="B23" i="21"/>
  <c r="B6" i="23"/>
  <c r="A7" i="1"/>
  <c r="J5" i="20"/>
  <c r="K5" i="20" s="1"/>
  <c r="I5" i="20"/>
  <c r="Q29" i="11"/>
  <c r="R29" i="11" s="1"/>
  <c r="Q29" i="10"/>
  <c r="H47" i="10"/>
  <c r="Q14" i="21" s="1"/>
  <c r="Q22" i="21" s="1"/>
  <c r="AF20" i="21"/>
  <c r="O47" i="10"/>
  <c r="L47" i="10"/>
  <c r="I47" i="10"/>
  <c r="Q34" i="11"/>
  <c r="R34" i="11" s="1"/>
  <c r="Q34" i="10"/>
  <c r="H49" i="1"/>
  <c r="H47" i="1"/>
  <c r="H45" i="1"/>
  <c r="I46" i="1"/>
  <c r="G45" i="1"/>
  <c r="I49" i="1"/>
  <c r="I47" i="1"/>
  <c r="I45" i="1"/>
  <c r="G49" i="1"/>
  <c r="I48" i="1"/>
  <c r="G47" i="1"/>
  <c r="H48" i="1"/>
  <c r="H46" i="1"/>
  <c r="G48" i="1"/>
  <c r="G46" i="1"/>
  <c r="AB20" i="21"/>
  <c r="I7" i="19"/>
  <c r="M7" i="19" s="1"/>
  <c r="Q22" i="11"/>
  <c r="R22" i="11" s="1"/>
  <c r="Q22" i="10"/>
  <c r="G20" i="21"/>
  <c r="Y23" i="21"/>
  <c r="B24" i="23"/>
  <c r="D7" i="1"/>
  <c r="B9" i="21"/>
  <c r="AG6" i="21"/>
  <c r="G7" i="1" s="1"/>
  <c r="Q10" i="11"/>
  <c r="R10" i="11" s="1"/>
  <c r="Q10" i="10"/>
  <c r="Q8" i="11"/>
  <c r="R8" i="11" s="1"/>
  <c r="B11" i="23" s="1"/>
  <c r="Q8" i="10"/>
  <c r="L38" i="9"/>
  <c r="P20" i="21"/>
  <c r="L27" i="9"/>
  <c r="L46" i="10"/>
  <c r="I46" i="10"/>
  <c r="M47" i="10"/>
  <c r="J47" i="10"/>
  <c r="J20" i="21"/>
  <c r="L20" i="21"/>
  <c r="Q9" i="11"/>
  <c r="R9" i="11" s="1"/>
  <c r="Q9" i="10"/>
  <c r="B26" i="23" s="1"/>
  <c r="I21" i="19"/>
  <c r="K21" i="19"/>
  <c r="L25" i="9"/>
  <c r="Q16" i="11"/>
  <c r="R16" i="11" s="1"/>
  <c r="Q16" i="10"/>
  <c r="F20" i="21"/>
  <c r="X20" i="21"/>
  <c r="Q25" i="11"/>
  <c r="R25" i="11" s="1"/>
  <c r="Q25" i="10"/>
  <c r="R20" i="21"/>
  <c r="U20" i="21"/>
  <c r="I10" i="19"/>
  <c r="M10" i="19" s="1"/>
  <c r="L10" i="19"/>
  <c r="N10" i="19" s="1"/>
  <c r="F10" i="20"/>
  <c r="H10" i="20" s="1"/>
  <c r="B25" i="23"/>
  <c r="B7" i="23"/>
  <c r="A28" i="1"/>
  <c r="L5" i="9"/>
  <c r="J28" i="1"/>
  <c r="D28" i="1"/>
  <c r="G28" i="1"/>
  <c r="AE20" i="21"/>
  <c r="G47" i="10"/>
  <c r="E14" i="21" s="1"/>
  <c r="M46" i="10"/>
  <c r="J46" i="10"/>
  <c r="G46" i="10"/>
  <c r="E13" i="21" s="1"/>
  <c r="N47" i="10"/>
  <c r="I33" i="19"/>
  <c r="K33" i="19"/>
  <c r="AC20" i="21"/>
  <c r="AA20" i="21"/>
  <c r="S20" i="21"/>
  <c r="M8" i="19"/>
  <c r="I15" i="19"/>
  <c r="K15" i="19"/>
  <c r="Q38" i="11"/>
  <c r="R38" i="11" s="1"/>
  <c r="Q38" i="10"/>
  <c r="B8" i="23" s="1"/>
  <c r="H20" i="21"/>
  <c r="T20" i="21"/>
  <c r="Q13" i="11"/>
  <c r="R13" i="11" s="1"/>
  <c r="Q13" i="10"/>
  <c r="Q42" i="11"/>
  <c r="R42" i="11" s="1"/>
  <c r="Q42" i="10"/>
  <c r="L35" i="9"/>
  <c r="D23" i="21"/>
  <c r="I19" i="19"/>
  <c r="M19" i="19" s="1"/>
  <c r="J18" i="22" l="1"/>
  <c r="K18" i="22" s="1"/>
  <c r="AG10" i="21"/>
  <c r="Y12" i="21"/>
  <c r="AG11" i="21"/>
  <c r="K12" i="21"/>
  <c r="J21" i="22"/>
  <c r="K21" i="22" s="1"/>
  <c r="J22" i="22"/>
  <c r="K22" i="22" s="1"/>
  <c r="E12" i="21"/>
  <c r="AG12" i="21" s="1"/>
  <c r="C12" i="21"/>
  <c r="U12" i="21"/>
  <c r="J13" i="22"/>
  <c r="K13" i="22" s="1"/>
  <c r="J17" i="22"/>
  <c r="K17" i="22" s="1"/>
  <c r="J24" i="22"/>
  <c r="K24" i="22" s="1"/>
  <c r="H12" i="21"/>
  <c r="J9" i="22"/>
  <c r="K9" i="22" s="1"/>
  <c r="J11" i="22"/>
  <c r="K11" i="22" s="1"/>
  <c r="J16" i="22"/>
  <c r="K16" i="22" s="1"/>
  <c r="J10" i="22"/>
  <c r="K10" i="22" s="1"/>
  <c r="J19" i="22"/>
  <c r="K19" i="22" s="1"/>
  <c r="J6" i="22"/>
  <c r="K6" i="22" s="1"/>
  <c r="J29" i="22"/>
  <c r="K29" i="22" s="1"/>
  <c r="J15" i="22"/>
  <c r="K15" i="22" s="1"/>
  <c r="J5" i="22"/>
  <c r="K5" i="22" s="1"/>
  <c r="J20" i="22"/>
  <c r="K20" i="22" s="1"/>
  <c r="J25" i="22"/>
  <c r="K25" i="22" s="1"/>
  <c r="J27" i="22"/>
  <c r="K27" i="22" s="1"/>
  <c r="J23" i="22"/>
  <c r="K23" i="22" s="1"/>
  <c r="J7" i="22"/>
  <c r="K7" i="22" s="1"/>
  <c r="J8" i="22"/>
  <c r="K8" i="22" s="1"/>
  <c r="J12" i="22"/>
  <c r="K12" i="22" s="1"/>
  <c r="J14" i="22"/>
  <c r="K14" i="22" s="1"/>
  <c r="J4" i="22"/>
  <c r="K4" i="22" s="1"/>
  <c r="J28" i="22"/>
  <c r="K28" i="22" s="1"/>
  <c r="F39" i="20"/>
  <c r="H39" i="20" s="1"/>
  <c r="I39" i="19"/>
  <c r="M39" i="19" s="1"/>
  <c r="I8" i="20"/>
  <c r="F24" i="20"/>
  <c r="H24" i="20" s="1"/>
  <c r="J24" i="20" s="1"/>
  <c r="K24" i="20" s="1"/>
  <c r="I41" i="20"/>
  <c r="F9" i="20"/>
  <c r="H9" i="20" s="1"/>
  <c r="J9" i="20" s="1"/>
  <c r="K9" i="20" s="1"/>
  <c r="I24" i="19"/>
  <c r="M24" i="19" s="1"/>
  <c r="L9" i="19"/>
  <c r="N9" i="19" s="1"/>
  <c r="I12" i="19"/>
  <c r="M12" i="19" s="1"/>
  <c r="L38" i="19"/>
  <c r="N38" i="19" s="1"/>
  <c r="F28" i="20"/>
  <c r="H28" i="20" s="1"/>
  <c r="J28" i="20" s="1"/>
  <c r="K28" i="20" s="1"/>
  <c r="L28" i="19"/>
  <c r="N28" i="19" s="1"/>
  <c r="F14" i="20"/>
  <c r="H14" i="20" s="1"/>
  <c r="I14" i="20" s="1"/>
  <c r="I19" i="20"/>
  <c r="I38" i="19"/>
  <c r="M38" i="19" s="1"/>
  <c r="F12" i="20"/>
  <c r="H12" i="20" s="1"/>
  <c r="J12" i="20" s="1"/>
  <c r="K12" i="20" s="1"/>
  <c r="I6" i="20"/>
  <c r="J6" i="20"/>
  <c r="K6" i="20" s="1"/>
  <c r="G40" i="19"/>
  <c r="H40" i="19" s="1"/>
  <c r="I26" i="20"/>
  <c r="J26" i="20"/>
  <c r="K26" i="20" s="1"/>
  <c r="L14" i="19"/>
  <c r="N14" i="19" s="1"/>
  <c r="F17" i="20"/>
  <c r="H17" i="20" s="1"/>
  <c r="I17" i="19"/>
  <c r="M17" i="19" s="1"/>
  <c r="L17" i="19"/>
  <c r="N17" i="19" s="1"/>
  <c r="G13" i="19"/>
  <c r="H13" i="19" s="1"/>
  <c r="J29" i="20"/>
  <c r="K29" i="20" s="1"/>
  <c r="I29" i="20"/>
  <c r="J27" i="20"/>
  <c r="K27" i="20" s="1"/>
  <c r="I27" i="20"/>
  <c r="M15" i="19"/>
  <c r="M33" i="19"/>
  <c r="M21" i="19"/>
  <c r="G37" i="19"/>
  <c r="H37" i="19" s="1"/>
  <c r="B10" i="23"/>
  <c r="B12" i="23" s="1"/>
  <c r="B29" i="23"/>
  <c r="E21" i="21"/>
  <c r="E15" i="21"/>
  <c r="AG13" i="21"/>
  <c r="AG21" i="21" s="1"/>
  <c r="A13" i="1" s="1"/>
  <c r="C35" i="1"/>
  <c r="A36" i="1"/>
  <c r="E36" i="1" s="1"/>
  <c r="B35" i="1"/>
  <c r="C34" i="1"/>
  <c r="D33" i="1"/>
  <c r="A32" i="1"/>
  <c r="E32" i="1" s="1"/>
  <c r="D36" i="1"/>
  <c r="B34" i="1"/>
  <c r="C33" i="1"/>
  <c r="B36" i="1"/>
  <c r="A35" i="1"/>
  <c r="E35" i="1" s="1"/>
  <c r="D32" i="1"/>
  <c r="D34" i="1"/>
  <c r="B32" i="1"/>
  <c r="C36" i="1"/>
  <c r="D35" i="1"/>
  <c r="A34" i="1"/>
  <c r="E34" i="1" s="1"/>
  <c r="B33" i="1"/>
  <c r="C32" i="1"/>
  <c r="A33" i="1"/>
  <c r="E33" i="1" s="1"/>
  <c r="B28" i="23"/>
  <c r="J38" i="20"/>
  <c r="K38" i="20" s="1"/>
  <c r="I38" i="20"/>
  <c r="B20" i="21"/>
  <c r="AG9" i="21"/>
  <c r="E22" i="21"/>
  <c r="AG14" i="21"/>
  <c r="AG22" i="21" s="1"/>
  <c r="D13" i="1" s="1"/>
  <c r="J39" i="20"/>
  <c r="K39" i="20" s="1"/>
  <c r="I39" i="20"/>
  <c r="J10" i="20"/>
  <c r="K10" i="20" s="1"/>
  <c r="I10" i="20"/>
  <c r="B42" i="23"/>
  <c r="Q15" i="21"/>
  <c r="D41" i="1" l="1"/>
  <c r="G41" i="1"/>
  <c r="J41" i="1"/>
  <c r="B30" i="23"/>
  <c r="I28" i="20"/>
  <c r="I24" i="20"/>
  <c r="I9" i="20"/>
  <c r="J14" i="20"/>
  <c r="K14" i="20" s="1"/>
  <c r="I40" i="19"/>
  <c r="M40" i="19" s="1"/>
  <c r="L40" i="19"/>
  <c r="N40" i="19" s="1"/>
  <c r="F40" i="20"/>
  <c r="H40" i="20" s="1"/>
  <c r="I12" i="20"/>
  <c r="J17" i="20"/>
  <c r="K17" i="20" s="1"/>
  <c r="I17" i="20"/>
  <c r="I13" i="19"/>
  <c r="M13" i="19" s="1"/>
  <c r="L13" i="19"/>
  <c r="N13" i="19" s="1"/>
  <c r="F13" i="20"/>
  <c r="H13" i="20" s="1"/>
  <c r="I37" i="19"/>
  <c r="M37" i="19" s="1"/>
  <c r="L37" i="19"/>
  <c r="N37" i="19" s="1"/>
  <c r="F37" i="20"/>
  <c r="H37" i="20" s="1"/>
  <c r="E23" i="21"/>
  <c r="E20" i="21"/>
  <c r="AG15" i="21"/>
  <c r="Q23" i="21"/>
  <c r="Q20" i="21"/>
  <c r="J7" i="1"/>
  <c r="G13" i="1"/>
  <c r="A22" i="1" l="1"/>
  <c r="J40" i="20"/>
  <c r="K40" i="20" s="1"/>
  <c r="I40" i="20"/>
  <c r="J13" i="20"/>
  <c r="K13" i="20" s="1"/>
  <c r="I13" i="20"/>
  <c r="J37" i="20"/>
  <c r="K37" i="20" s="1"/>
  <c r="I37" i="20"/>
  <c r="AG23" i="21"/>
  <c r="G10" i="1" s="1"/>
  <c r="A10" i="1"/>
  <c r="D22" i="1" l="1"/>
  <c r="B34" i="23"/>
  <c r="B35" i="23" s="1"/>
  <c r="B16" i="23"/>
  <c r="B17" i="23" s="1"/>
  <c r="AG19" i="21"/>
  <c r="AG20" i="21" s="1"/>
  <c r="J19" i="1"/>
  <c r="D10" i="1" l="1"/>
  <c r="J10" i="1"/>
  <c r="B45" i="23"/>
  <c r="B18" i="23"/>
  <c r="B20" i="23" s="1"/>
  <c r="B43" i="23"/>
  <c r="B19" i="23"/>
  <c r="B36" i="23"/>
  <c r="B38" i="23" s="1"/>
  <c r="B37" i="23"/>
  <c r="B46" i="23"/>
  <c r="B47" i="23" l="1"/>
  <c r="B44" i="23"/>
  <c r="B48" i="23" s="1"/>
</calcChain>
</file>

<file path=xl/sharedStrings.xml><?xml version="1.0" encoding="utf-8"?>
<sst xmlns="http://schemas.openxmlformats.org/spreadsheetml/2006/main" count="3122" uniqueCount="717">
  <si>
    <t>PRIME BISTRO — EXECUTIVE DASHBOARD</t>
  </si>
  <si>
    <t>1.  MONTHLY SALES &amp; PROFIT SNAPSHOT</t>
  </si>
  <si>
    <t>FOOD SALES (ETB)</t>
  </si>
  <si>
    <t>BEVERAGE SALES (ETB)</t>
  </si>
  <si>
    <t>GROSS SALES (ETB)</t>
  </si>
  <si>
    <t>NET SALES (ETB)</t>
  </si>
  <si>
    <t>TOTAL ACTUAL COST (ETB)</t>
  </si>
  <si>
    <t>GROSS PROFIT (ETB)</t>
  </si>
  <si>
    <t>OVERALL F&amp;B COST %</t>
  </si>
  <si>
    <t>GROSS PROFIT %</t>
  </si>
  <si>
    <t>FOOD COST %</t>
  </si>
  <si>
    <t>BEVERAGE COST %</t>
  </si>
  <si>
    <t>AVG. DAILY NET SALES (ETB)</t>
  </si>
  <si>
    <t>DAYS OF DATA (Month)</t>
  </si>
  <si>
    <t>2.  LOSS &amp; VARIANCE CONTROL</t>
  </si>
  <si>
    <t>TOTAL WASTAGE VALUE (ETB)</t>
  </si>
  <si>
    <t>STAFF MEAL COST (ETB)</t>
  </si>
  <si>
    <t>VOID + COMP SALES (ETB)</t>
  </si>
  <si>
    <t>INVENTORY VARIANCE COST (ETB)</t>
  </si>
  <si>
    <t>RECIPE VARIANCE COST (ETB)</t>
  </si>
  <si>
    <t>ITEMS TO INVESTIGATE (Variance)</t>
  </si>
  <si>
    <t>WASTAGE EVENTS LOGGED</t>
  </si>
  <si>
    <t>VOID EVENTS LOGGED</t>
  </si>
  <si>
    <t>3.  MAIN STORE INVENTORY HEALTH  (Par Level Monitoring)</t>
  </si>
  <si>
    <t>TOTAL STORE VALUE (ETB)</t>
  </si>
  <si>
    <t>ITEMS BELOW MIN PAR</t>
  </si>
  <si>
    <t>ITEMS OVERSTOCKED</t>
  </si>
  <si>
    <t>ITEMS WITHIN PAR (OK)</t>
  </si>
  <si>
    <t>TOP REORDER ALERTS (Main Store)</t>
  </si>
  <si>
    <t>Item</t>
  </si>
  <si>
    <t>Category</t>
  </si>
  <si>
    <t>Available Qty</t>
  </si>
  <si>
    <t>Min Par</t>
  </si>
  <si>
    <t>Status</t>
  </si>
  <si>
    <t>4.  MENU PORTFOLIO OVERVIEW</t>
  </si>
  <si>
    <t>TOTAL ACTIVE MENU ITEMS</t>
  </si>
  <si>
    <t>STARS</t>
  </si>
  <si>
    <t>PLOWHORSES</t>
  </si>
  <si>
    <t>PUZZLES + DOGS</t>
  </si>
  <si>
    <t>TOP 5 BEST SELLERS (by Qty Sold)</t>
  </si>
  <si>
    <t>TOP 5 REVENUE DRIVERS (by Monthly Sales)</t>
  </si>
  <si>
    <t>Menu Item</t>
  </si>
  <si>
    <t>Qty Sold</t>
  </si>
  <si>
    <t>Revenue (ETB)</t>
  </si>
  <si>
    <t>5.  NOTES</t>
  </si>
  <si>
    <t>All figures on this dashboard are live formulas pulling from Daily Sales, Daily Flash Cost, Store Inventory, Wastage, Daily Void, Complementary, Daily Staff Meal, Inventory Variance, Theoretical Consumption and Menu Engineering. Enter your outlet's real daily data in those sheets and every number here recalculates automatically — nothing on this page needs to be typed in directly.</t>
  </si>
  <si>
    <t>PRIME BISTRO — F&amp;B CONTROLLING SYSTEM</t>
  </si>
  <si>
    <t>1.  PURPOSE OF THIS SYSTEM</t>
  </si>
  <si>
    <t>This workbook is the complete F&amp;B costing and control system for Prime Bistro, rebuilt for a SINGLE OUTLET. It exists to answer, every day, three questions: what did we sell, what did it cost us, and where is money being lost — so food cost can be actively managed rather than discovered a month later.</t>
  </si>
  <si>
    <t>2.  HOW THE SINGLE-STORE, SINGLE-OUTLET MODEL WORKS</t>
  </si>
  <si>
    <t>3.  THE FLOW OF THE SYSTEM (follow the sheets in this order)</t>
  </si>
  <si>
    <t>Item Master</t>
  </si>
  <si>
    <t>Master list of every raw ingredient (Food / Beverage / Others) with standard cost, used to build recipes.</t>
  </si>
  <si>
    <t>Menu Master</t>
  </si>
  <si>
    <t>Every sellable menu item (Food, Beverage, To-Go). This is what recipes and daily sales are built from.</t>
  </si>
  <si>
    <t>Recipe Master</t>
  </si>
  <si>
    <t>Ingredient breakdown + standard cost for every menu item — the basis of theoretical food cost.</t>
  </si>
  <si>
    <t>Sub-Recipe</t>
  </si>
  <si>
    <t>Homemade components (buns, dressings, sauces, dough) costed separately, then used inside Recipe Master.</t>
  </si>
  <si>
    <t>Purchase Register</t>
  </si>
  <si>
    <t>What was bought, from whom, at what cost — feeds the Main Store.</t>
  </si>
  <si>
    <t>Store Receiving</t>
  </si>
  <si>
    <t>Goods received into the Main Store, building up available stock and average cost.</t>
  </si>
  <si>
    <t>Store Inventory</t>
  </si>
  <si>
    <t>The Main Store balance — with Min/Max Par Level and an automatic Reorder Status flag.</t>
  </si>
  <si>
    <t>Store Issue</t>
  </si>
  <si>
    <t>Stock issued from the Main Store to the outlet's Kitchen &amp; Bar.</t>
  </si>
  <si>
    <t>Kitchen &amp; Bar Receiving</t>
  </si>
  <si>
    <t>Confirms what the outlet actually received from the Main Store.</t>
  </si>
  <si>
    <t>Daily Inventory / Semi-Finished Inventory</t>
  </si>
  <si>
    <t>Daily stock counts at the outlet, for raw items and homemade prep items.</t>
  </si>
  <si>
    <t>Wastage / Daily Void / Complementary / Staff Meal</t>
  </si>
  <si>
    <t>Every way food leaves the building without being paid for in full.</t>
  </si>
  <si>
    <t>Daily Sales</t>
  </si>
  <si>
    <t>Every menu item sold, day by day for the month — the engine of the whole system.</t>
  </si>
  <si>
    <t>Theoretical Consumption / Inventory Variance</t>
  </si>
  <si>
    <t>What SHOULD have been used (per recipe) vs what was actually issued/counted — the variance is where losses hide.</t>
  </si>
  <si>
    <t>Daily Flash Cost / Monthly Reconciliation</t>
  </si>
  <si>
    <t>Daily and monthly food cost %, gross profit, and a full reconciliation of the food cost.</t>
  </si>
  <si>
    <t>Menu Engineering</t>
  </si>
  <si>
    <t>Classifies each dish as a Star, Plowhorse, Puzzle or Dog by profitability and popularity.</t>
  </si>
  <si>
    <t>Executive Dashboard</t>
  </si>
  <si>
    <t>One-page view of every major KPI above, updating live as data is entered.</t>
  </si>
  <si>
    <t>4.  HOW ITEM MASTER, MENU MASTER, RECIPE MASTER AND SUB-RECIPE FIT TOGETHER</t>
  </si>
  <si>
    <t>Item Master is built to serve Menu Master: every raw ingredient in Item Master exists because it is needed by a recipe on Menu Master. A Sub-Recipe is any homemade component — burger buns, sandwich bread, pizza dough, bolognese/alfredo/pizza sauce, caesar dressing, mojito syrup — costed once as its own small recipe with a batch yield, then pulled into Recipe Master as a single costed ingredient line. Whenever a new menu item is added: add its raw ingredients to Item Master (if not already there), cost any new homemade component in Sub-Recipe, then build its line in Recipe Master — the rest of the system (Daily Sales standard cost, Flash Cost, Menu Engineering, Theoretical Consumption) picks it up automatically.</t>
  </si>
  <si>
    <t>5.  MAIN STORE PAR LEVELS</t>
  </si>
  <si>
    <t>Every item in Store Inventory carries a Min Par Level and Max Par Level. A Reorder Status column flags each item automatically as REORDER NOW (below minimum), OVERSTOCK (above maximum) or OK — colour-coded so the purchaser can act at a glance instead of reading raw numbers.</t>
  </si>
  <si>
    <t>6.  COLOUR KEY USED THROUGHOUT THE SYSTEM</t>
  </si>
  <si>
    <t>Blue text = a cell you type into (inputs, prices, par levels, quantities, dates). Black text = an automatic formula — never overtype these. Green text = a live link pulled from another sheet. Shaded rows = subtotal / total rows. Yellow-tinted cells = key assumptions.</t>
  </si>
  <si>
    <t>7.  TRIAL DATA IN THIS FILE</t>
  </si>
  <si>
    <t>Every transactional sheet (Purchase Register, Store Receiving, Store Issue, Daily Sales, Wastage, Void, Complementary, Staff Meal, Daily Inventory) has been pre-filled with realistic sample data for the first few days/events of the month so you can see the whole system working end-to-end — every report, variance and the Executive Dashboard are already live. Simply clear the blue input cells and replace them with your own outlet's real numbers; every formula will recalculate automatically.</t>
  </si>
  <si>
    <t>ITEM MASTER</t>
  </si>
  <si>
    <t>Master list of every raw ingredient — standard cost feeds every recipe</t>
  </si>
  <si>
    <t>ITEM CODE</t>
  </si>
  <si>
    <t>ITEM NAME</t>
  </si>
  <si>
    <t>CATEGORY</t>
  </si>
  <si>
    <t>UOM</t>
  </si>
  <si>
    <t>STANDARD COST (ETB)</t>
  </si>
  <si>
    <t>FOOD</t>
  </si>
  <si>
    <t>FD001</t>
  </si>
  <si>
    <t>Beef Mince (80% Lean)</t>
  </si>
  <si>
    <t>Meat &amp; Poultry</t>
  </si>
  <si>
    <t>Kg</t>
  </si>
  <si>
    <t>FD002</t>
  </si>
  <si>
    <t>Chicken Breast (Boneless)</t>
  </si>
  <si>
    <t>FD003</t>
  </si>
  <si>
    <t>Bacon Strips</t>
  </si>
  <si>
    <t>FD004</t>
  </si>
  <si>
    <t>Fresh Lettuce</t>
  </si>
  <si>
    <t>Fresh Produce</t>
  </si>
  <si>
    <t>FD005</t>
  </si>
  <si>
    <t>Fresh Tomato</t>
  </si>
  <si>
    <t>FD006</t>
  </si>
  <si>
    <t>Onion</t>
  </si>
  <si>
    <t>FD007</t>
  </si>
  <si>
    <t>Cheddar Cheese Slice</t>
  </si>
  <si>
    <t>Dairy</t>
  </si>
  <si>
    <t>Pcs</t>
  </si>
  <si>
    <t>FD008</t>
  </si>
  <si>
    <t>All-Purpose Flour</t>
  </si>
  <si>
    <t>Bakery &amp; Dry Goods</t>
  </si>
  <si>
    <t>FD009</t>
  </si>
  <si>
    <t>Butter (Unsalted)</t>
  </si>
  <si>
    <t>FD010</t>
  </si>
  <si>
    <t>Fresh Eggs</t>
  </si>
  <si>
    <t>FD011</t>
  </si>
  <si>
    <t>Spaghetti Pasta</t>
  </si>
  <si>
    <t>FD012</t>
  </si>
  <si>
    <t>Tortilla Wrap</t>
  </si>
  <si>
    <t>FD013</t>
  </si>
  <si>
    <t>Mayonnaise</t>
  </si>
  <si>
    <t>Condiments &amp; Sauces</t>
  </si>
  <si>
    <t>FD014</t>
  </si>
  <si>
    <t>Tomato Ketchup</t>
  </si>
  <si>
    <t>FD015</t>
  </si>
  <si>
    <t>Mozzarella Cheese</t>
  </si>
  <si>
    <t>BEVERAGE</t>
  </si>
  <si>
    <t>BV001</t>
  </si>
  <si>
    <t>Coffee Beans (Roasted)</t>
  </si>
  <si>
    <t>Coffee &amp; Tea</t>
  </si>
  <si>
    <t>BV002</t>
  </si>
  <si>
    <t>Black Tea Bags</t>
  </si>
  <si>
    <t>BV003</t>
  </si>
  <si>
    <t>Green Tea Bags</t>
  </si>
  <si>
    <t>BV004</t>
  </si>
  <si>
    <t>Fresh Milk</t>
  </si>
  <si>
    <t>Dairy &amp; Bar</t>
  </si>
  <si>
    <t>Ltr</t>
  </si>
  <si>
    <t>BV005</t>
  </si>
  <si>
    <t>Cocoa Powder</t>
  </si>
  <si>
    <t>BV006</t>
  </si>
  <si>
    <t>White Rum</t>
  </si>
  <si>
    <t>Bar &amp; Spirits</t>
  </si>
  <si>
    <t>BV007</t>
  </si>
  <si>
    <t>Fresh Mint Leaves</t>
  </si>
  <si>
    <t>Bar Garnish</t>
  </si>
  <si>
    <t>BV008</t>
  </si>
  <si>
    <t>Fresh Lime</t>
  </si>
  <si>
    <t>BV009</t>
  </si>
  <si>
    <t>Fresh Avocado</t>
  </si>
  <si>
    <t>BV010</t>
  </si>
  <si>
    <t>Soda Water</t>
  </si>
  <si>
    <t>Bar &amp; Mixers</t>
  </si>
  <si>
    <t>BV011</t>
  </si>
  <si>
    <t>Coca-Cola (330ml Bottle)</t>
  </si>
  <si>
    <t>Soft Drinks</t>
  </si>
  <si>
    <t>Bottle</t>
  </si>
  <si>
    <t>OTHERS</t>
  </si>
  <si>
    <t>OT001</t>
  </si>
  <si>
    <t>Burger Takeaway Box</t>
  </si>
  <si>
    <t>Packaging</t>
  </si>
  <si>
    <t>OT002</t>
  </si>
  <si>
    <t>Pizza Takeaway Box</t>
  </si>
  <si>
    <t>OT003</t>
  </si>
  <si>
    <t>Paper Napkins</t>
  </si>
  <si>
    <t>Consumables</t>
  </si>
  <si>
    <t>OT004</t>
  </si>
  <si>
    <t>Disposable Straws</t>
  </si>
  <si>
    <t>OT005</t>
  </si>
  <si>
    <t>White Sugar</t>
  </si>
  <si>
    <t>Pantry &amp; Dry Goods</t>
  </si>
  <si>
    <t>OT006</t>
  </si>
  <si>
    <t>Iodized Salt</t>
  </si>
  <si>
    <t>OT007</t>
  </si>
  <si>
    <t>Cooking / Vegetable Oil</t>
  </si>
  <si>
    <t>OT008</t>
  </si>
  <si>
    <t>Instant Dry Yeast</t>
  </si>
  <si>
    <t>OT009</t>
  </si>
  <si>
    <t>Black Pepper (Ground)</t>
  </si>
  <si>
    <t>MENU MASTER</t>
  </si>
  <si>
    <t>Every sellable menu item — the basis of Recipe Master &amp; Daily Sales</t>
  </si>
  <si>
    <t>MENU CODE</t>
  </si>
  <si>
    <t>MENU ITEM</t>
  </si>
  <si>
    <t>SUB-CATEGORY</t>
  </si>
  <si>
    <t>STATUS</t>
  </si>
  <si>
    <t>A. Food Menu</t>
  </si>
  <si>
    <t>Burgers</t>
  </si>
  <si>
    <t>FM001</t>
  </si>
  <si>
    <t>Classic Beef Burger</t>
  </si>
  <si>
    <t>Food</t>
  </si>
  <si>
    <t>Burger</t>
  </si>
  <si>
    <t>Plate</t>
  </si>
  <si>
    <t>Active</t>
  </si>
  <si>
    <t>FM002</t>
  </si>
  <si>
    <t>Double Beef Burger</t>
  </si>
  <si>
    <t>Wraps</t>
  </si>
  <si>
    <t>FM003</t>
  </si>
  <si>
    <t>Chicken Caesar Wrap</t>
  </si>
  <si>
    <t>Wrap</t>
  </si>
  <si>
    <t>FM004</t>
  </si>
  <si>
    <t>Crispy Chicken Wrap</t>
  </si>
  <si>
    <t>Sandwiches</t>
  </si>
  <si>
    <t>FM005</t>
  </si>
  <si>
    <t>Club Sandwich</t>
  </si>
  <si>
    <t>Sandwich</t>
  </si>
  <si>
    <t>FM006</t>
  </si>
  <si>
    <t>Chicken Sandwich</t>
  </si>
  <si>
    <t>Pasta</t>
  </si>
  <si>
    <t>FM007</t>
  </si>
  <si>
    <t>Spaghetti Bolognese</t>
  </si>
  <si>
    <t>FM008</t>
  </si>
  <si>
    <t>Spaghetti Alfredo</t>
  </si>
  <si>
    <t>Breakfast</t>
  </si>
  <si>
    <t>FM009</t>
  </si>
  <si>
    <t>American Breakfast</t>
  </si>
  <si>
    <t>FM010</t>
  </si>
  <si>
    <t>Continental Breakfast</t>
  </si>
  <si>
    <t>Bakery &amp; Pastries</t>
  </si>
  <si>
    <t>FM011</t>
  </si>
  <si>
    <t>Butter Croissant</t>
  </si>
  <si>
    <t>FM012</t>
  </si>
  <si>
    <t>Danish Pastry</t>
  </si>
  <si>
    <t>Salads</t>
  </si>
  <si>
    <t>FM013</t>
  </si>
  <si>
    <t>Chicken Caesar Salad</t>
  </si>
  <si>
    <t>Salad</t>
  </si>
  <si>
    <t>FM014</t>
  </si>
  <si>
    <t>Avocado Salad</t>
  </si>
  <si>
    <t>Pizza</t>
  </si>
  <si>
    <t>FM015</t>
  </si>
  <si>
    <t>Margherita Pizza</t>
  </si>
  <si>
    <t>B. Beverage Menu</t>
  </si>
  <si>
    <t>Coffee</t>
  </si>
  <si>
    <t>BM001</t>
  </si>
  <si>
    <t>Americano</t>
  </si>
  <si>
    <t>Beverage</t>
  </si>
  <si>
    <t>Cup</t>
  </si>
  <si>
    <t>BM002</t>
  </si>
  <si>
    <t>Cappuccino</t>
  </si>
  <si>
    <t>Tea</t>
  </si>
  <si>
    <t>BM003</t>
  </si>
  <si>
    <t>English Breakfast Tea</t>
  </si>
  <si>
    <t>BM004</t>
  </si>
  <si>
    <t>Green Tea</t>
  </si>
  <si>
    <t>Hot Drinks</t>
  </si>
  <si>
    <t>BM005</t>
  </si>
  <si>
    <t>Hot Chocolate</t>
  </si>
  <si>
    <t>Hot Drink</t>
  </si>
  <si>
    <t>Mojitos</t>
  </si>
  <si>
    <t>BM006</t>
  </si>
  <si>
    <t>Classic Mojito</t>
  </si>
  <si>
    <t>Mojito</t>
  </si>
  <si>
    <t>Glass</t>
  </si>
  <si>
    <t>BM007</t>
  </si>
  <si>
    <t>Strawberry Mojito</t>
  </si>
  <si>
    <t>Fresh Juices</t>
  </si>
  <si>
    <t>BM008</t>
  </si>
  <si>
    <t>Fresh Avocado Juice</t>
  </si>
  <si>
    <t>Juice</t>
  </si>
  <si>
    <t>Soft Drinks &amp; Water</t>
  </si>
  <si>
    <t>BM009</t>
  </si>
  <si>
    <t>Coca-Cola</t>
  </si>
  <si>
    <t>C. Other Menu Items (To-Go Materials)</t>
  </si>
  <si>
    <t>OM001</t>
  </si>
  <si>
    <t>To-Go Material</t>
  </si>
  <si>
    <t>Each</t>
  </si>
  <si>
    <t>OM002</t>
  </si>
  <si>
    <t>Summary</t>
  </si>
  <si>
    <t>Number of Items</t>
  </si>
  <si>
    <t>Food Menu</t>
  </si>
  <si>
    <t>Beverage Menu</t>
  </si>
  <si>
    <t>Other (To-Go Materials)</t>
  </si>
  <si>
    <t>Total Menu Items</t>
  </si>
  <si>
    <t>RECIPE MASTER</t>
  </si>
  <si>
    <t>Ingredient breakdown &amp; standard cost for every menu item — theoretical food cost engine</t>
  </si>
  <si>
    <t>RECIPE CODE</t>
  </si>
  <si>
    <t>INGREDIENT</t>
  </si>
  <si>
    <t>QTY</t>
  </si>
  <si>
    <t>ITEM COST (ETB)</t>
  </si>
  <si>
    <t>MONTHLY QTY SOLD (link)</t>
  </si>
  <si>
    <t>THEORETICAL QTY THIS LINE</t>
  </si>
  <si>
    <t>RC-FM001</t>
  </si>
  <si>
    <t>SR001</t>
  </si>
  <si>
    <t>TOTAL - Burger Bun (Homemade) (Sub-Recipe)</t>
  </si>
  <si>
    <t>TOTAL STANDARD RECIPE COST - Classic Beef Burger</t>
  </si>
  <si>
    <t>TOTAL</t>
  </si>
  <si>
    <t>RC-FM002</t>
  </si>
  <si>
    <t>TOTAL STANDARD RECIPE COST - Double Beef Burger</t>
  </si>
  <si>
    <t>RC-FM003</t>
  </si>
  <si>
    <t>SR008</t>
  </si>
  <si>
    <t>TOTAL - Caesar Dressing (Homemade) (Sub-Recipe)</t>
  </si>
  <si>
    <t>Portions (100g)</t>
  </si>
  <si>
    <t>TOTAL STANDARD RECIPE COST - Chicken Caesar Wrap</t>
  </si>
  <si>
    <t>RC-FM004</t>
  </si>
  <si>
    <t>TOTAL STANDARD RECIPE COST - Crispy Chicken Wrap</t>
  </si>
  <si>
    <t>RC-FM005</t>
  </si>
  <si>
    <t>SR002</t>
  </si>
  <si>
    <t>TOTAL - Sandwich Bread Loaf (Homemade) (Sub-Recipe)</t>
  </si>
  <si>
    <t>Slices</t>
  </si>
  <si>
    <t>TOTAL STANDARD RECIPE COST - Club Sandwich</t>
  </si>
  <si>
    <t>RC-FM006</t>
  </si>
  <si>
    <t>TOTAL STANDARD RECIPE COST - Chicken Sandwich</t>
  </si>
  <si>
    <t>RC-FM007</t>
  </si>
  <si>
    <t>SR006</t>
  </si>
  <si>
    <t>TOTAL - Bolognese Sauce (Homemade) (Sub-Recipe)</t>
  </si>
  <si>
    <t>Portions (250g)</t>
  </si>
  <si>
    <t>TOTAL STANDARD RECIPE COST - Spaghetti Bolognese</t>
  </si>
  <si>
    <t>RC-FM008</t>
  </si>
  <si>
    <t>SR007</t>
  </si>
  <si>
    <t>TOTAL - Alfredo Sauce (Homemade) (Sub-Recipe)</t>
  </si>
  <si>
    <t>Portions (125g)</t>
  </si>
  <si>
    <t>TOTAL STANDARD RECIPE COST - Spaghetti Alfredo</t>
  </si>
  <si>
    <t>RC-FM009</t>
  </si>
  <si>
    <t>TOTAL STANDARD RECIPE COST - American Breakfast</t>
  </si>
  <si>
    <t>RC-FM010</t>
  </si>
  <si>
    <t>SR003</t>
  </si>
  <si>
    <t>TOTAL - Croissant Dough (Homemade) (Sub-Recipe)</t>
  </si>
  <si>
    <t>SR004</t>
  </si>
  <si>
    <t>TOTAL - Danish Pastry Dough (Homemade) (Sub-Recipe)</t>
  </si>
  <si>
    <t>TOTAL STANDARD RECIPE COST - Continental Breakfast</t>
  </si>
  <si>
    <t>RC-FM011</t>
  </si>
  <si>
    <t>TOTAL STANDARD RECIPE COST - Butter Croissant</t>
  </si>
  <si>
    <t>RC-FM012</t>
  </si>
  <si>
    <t>TOTAL STANDARD RECIPE COST - Danish Pastry</t>
  </si>
  <si>
    <t>RC-FM013</t>
  </si>
  <si>
    <t>TOTAL STANDARD RECIPE COST - Chicken Caesar Salad</t>
  </si>
  <si>
    <t>RC-FM014</t>
  </si>
  <si>
    <t>TOTAL STANDARD RECIPE COST - Avocado Salad</t>
  </si>
  <si>
    <t>RC-FM015</t>
  </si>
  <si>
    <t>SR005</t>
  </si>
  <si>
    <t>TOTAL - Pizza Dough Base (Homemade) (Sub-Recipe)</t>
  </si>
  <si>
    <t>Bases</t>
  </si>
  <si>
    <t>SR009</t>
  </si>
  <si>
    <t>TOTAL - Pizza Tomato Sauce (Homemade) (Sub-Recipe)</t>
  </si>
  <si>
    <t>TOTAL STANDARD RECIPE COST - Margherita Pizza</t>
  </si>
  <si>
    <t>RC-BM001</t>
  </si>
  <si>
    <t>TOTAL STANDARD RECIPE COST - Americano</t>
  </si>
  <si>
    <t>RC-BM002</t>
  </si>
  <si>
    <t>TOTAL STANDARD RECIPE COST - Cappuccino</t>
  </si>
  <si>
    <t>RC-BM003</t>
  </si>
  <si>
    <t>TOTAL STANDARD RECIPE COST - English Breakfast Tea</t>
  </si>
  <si>
    <t>RC-BM004</t>
  </si>
  <si>
    <t>TOTAL STANDARD RECIPE COST - Green Tea</t>
  </si>
  <si>
    <t>RC-BM005</t>
  </si>
  <si>
    <t>TOTAL STANDARD RECIPE COST - Hot Chocolate</t>
  </si>
  <si>
    <t>RC-BM006</t>
  </si>
  <si>
    <t>SR010</t>
  </si>
  <si>
    <t>TOTAL - Mojito Syrup Base (Homemade) (Sub-Recipe)</t>
  </si>
  <si>
    <t>Servings (50ml)</t>
  </si>
  <si>
    <t>TOTAL STANDARD RECIPE COST - Classic Mojito</t>
  </si>
  <si>
    <t>RC-BM007</t>
  </si>
  <si>
    <t>TOTAL STANDARD RECIPE COST - Strawberry Mojito</t>
  </si>
  <si>
    <t>RC-BM008</t>
  </si>
  <si>
    <t>TOTAL STANDARD RECIPE COST - Fresh Avocado Juice</t>
  </si>
  <si>
    <t>RC-BM009</t>
  </si>
  <si>
    <t>TOTAL STANDARD RECIPE COST - Coca-Cola</t>
  </si>
  <si>
    <t>RC-OM001</t>
  </si>
  <si>
    <t>TOTAL STANDARD RECIPE COST - Burger Takeaway Box</t>
  </si>
  <si>
    <t>RC-OM002</t>
  </si>
  <si>
    <t>TOTAL STANDARD RECIPE COST - Pizza Takeaway Box</t>
  </si>
  <si>
    <t>SUB-RECIPE MASTER</t>
  </si>
  <si>
    <t>Homemade components costed once, then pulled into Recipe Master as a single ingredient line</t>
  </si>
  <si>
    <t>SUB-RECIPE CODE</t>
  </si>
  <si>
    <t>MENU CODE(S)</t>
  </si>
  <si>
    <t>COMPONENT NAME</t>
  </si>
  <si>
    <t>BATCH YIELD QTY</t>
  </si>
  <si>
    <t>YIELD UOM</t>
  </si>
  <si>
    <t>COST PER UNIT (ETB)</t>
  </si>
  <si>
    <t>PORTIONS CONSUMED (MONTHLY)</t>
  </si>
  <si>
    <t>BATCHES REQUIRED</t>
  </si>
  <si>
    <t>THEORETICAL RAW QTY THIS LINE</t>
  </si>
  <si>
    <t>FM001, FM002</t>
  </si>
  <si>
    <t>Burger Bun (Homemade)</t>
  </si>
  <si>
    <t>TOTAL - Burger Bun (Homemade)</t>
  </si>
  <si>
    <t>FM005, FM006, FM009</t>
  </si>
  <si>
    <t>Sandwich Bread Loaf (Homemade)</t>
  </si>
  <si>
    <t>TOTAL - Sandwich Bread Loaf (Homemade)</t>
  </si>
  <si>
    <t>FM010, FM011</t>
  </si>
  <si>
    <t>Croissant Dough (Homemade)</t>
  </si>
  <si>
    <t>TOTAL - Croissant Dough (Homemade)</t>
  </si>
  <si>
    <t>FM010, FM012</t>
  </si>
  <si>
    <t>Danish Pastry Dough (Homemade)</t>
  </si>
  <si>
    <t>TOTAL - Danish Pastry Dough (Homemade)</t>
  </si>
  <si>
    <t>Pizza Dough Base (Homemade)</t>
  </si>
  <si>
    <t>TOTAL - Pizza Dough Base (Homemade)</t>
  </si>
  <si>
    <t>Bolognese Sauce (Homemade)</t>
  </si>
  <si>
    <t>TOTAL - Bolognese Sauce (Homemade)</t>
  </si>
  <si>
    <t>Alfredo Sauce (Homemade)</t>
  </si>
  <si>
    <t>TOTAL - Alfredo Sauce (Homemade)</t>
  </si>
  <si>
    <t>FM003, FM013</t>
  </si>
  <si>
    <t>Caesar Dressing (Homemade)</t>
  </si>
  <si>
    <t>TOTAL - Caesar Dressing (Homemade)</t>
  </si>
  <si>
    <t>Pizza Tomato Sauce (Homemade)</t>
  </si>
  <si>
    <t>TOTAL - Pizza Tomato Sauce (Homemade)</t>
  </si>
  <si>
    <t>BM006, BM007</t>
  </si>
  <si>
    <t>Mojito Syrup Base (Homemade)</t>
  </si>
  <si>
    <t>TOTAL - Mojito Syrup Base (Homemade)</t>
  </si>
  <si>
    <t>PURCHASE REGISTER</t>
  </si>
  <si>
    <t>What was bought, from whom, at what cost — feeds the Main Store</t>
  </si>
  <si>
    <t>Enter each purchase event's date in row 3 above its Qty/Cost/Total block.</t>
  </si>
  <si>
    <t>Insert Date</t>
  </si>
  <si>
    <t>OPENING AVG. COST</t>
  </si>
  <si>
    <t>P1 Qty</t>
  </si>
  <si>
    <t>P1 Cost</t>
  </si>
  <si>
    <t>P1 Total</t>
  </si>
  <si>
    <t>P2 Qty</t>
  </si>
  <si>
    <t>P2 Cost</t>
  </si>
  <si>
    <t>P2 Total</t>
  </si>
  <si>
    <t>P3 Qty</t>
  </si>
  <si>
    <t>P3 Cost</t>
  </si>
  <si>
    <t>P3 Total</t>
  </si>
  <si>
    <t>P4 Qty</t>
  </si>
  <si>
    <t>P4 Cost</t>
  </si>
  <si>
    <t>P4 Total</t>
  </si>
  <si>
    <t>P5 Qty</t>
  </si>
  <si>
    <t>P5 Cost</t>
  </si>
  <si>
    <t>P5 Total</t>
  </si>
  <si>
    <t>P6 Qty</t>
  </si>
  <si>
    <t>P6 Cost</t>
  </si>
  <si>
    <t>P6 Total</t>
  </si>
  <si>
    <t>P7 Qty</t>
  </si>
  <si>
    <t>P7 Cost</t>
  </si>
  <si>
    <t>P7 Total</t>
  </si>
  <si>
    <t>P8 Qty</t>
  </si>
  <si>
    <t>P8 Cost</t>
  </si>
  <si>
    <t>P8 Total</t>
  </si>
  <si>
    <t>P9 Qty</t>
  </si>
  <si>
    <t>P9 Cost</t>
  </si>
  <si>
    <t>P9 Total</t>
  </si>
  <si>
    <t>TOTAL QTY</t>
  </si>
  <si>
    <t>TOTAL COST</t>
  </si>
  <si>
    <t>AVG. COST</t>
  </si>
  <si>
    <t>STORE RECEIVING</t>
  </si>
  <si>
    <t>Goods received into the Main Store — builds available stock &amp; moving-average cost</t>
  </si>
  <si>
    <t>Beginning Qty</t>
  </si>
  <si>
    <t>Beginning Cost</t>
  </si>
  <si>
    <t>Beginning Value</t>
  </si>
  <si>
    <t>R1 Qty</t>
  </si>
  <si>
    <t>R1 Cost</t>
  </si>
  <si>
    <t>R1 Total</t>
  </si>
  <si>
    <t>R2 Qty</t>
  </si>
  <si>
    <t>R2 Cost</t>
  </si>
  <si>
    <t>R2 Total</t>
  </si>
  <si>
    <t>R3 Qty</t>
  </si>
  <si>
    <t>R3 Cost</t>
  </si>
  <si>
    <t>R3 Total</t>
  </si>
  <si>
    <t>R4 Qty</t>
  </si>
  <si>
    <t>R4 Cost</t>
  </si>
  <si>
    <t>R4 Total</t>
  </si>
  <si>
    <t>R5 Qty</t>
  </si>
  <si>
    <t>R5 Cost</t>
  </si>
  <si>
    <t>R5 Total</t>
  </si>
  <si>
    <t>R6 Qty</t>
  </si>
  <si>
    <t>R6 Cost</t>
  </si>
  <si>
    <t>R6 Total</t>
  </si>
  <si>
    <t>R7 Qty</t>
  </si>
  <si>
    <t>R7 Cost</t>
  </si>
  <si>
    <t>R7 Total</t>
  </si>
  <si>
    <t>R8 Qty</t>
  </si>
  <si>
    <t>R8 Cost</t>
  </si>
  <si>
    <t>R8 Total</t>
  </si>
  <si>
    <t>R9 Qty</t>
  </si>
  <si>
    <t>R9 Cost</t>
  </si>
  <si>
    <t>R9 Total</t>
  </si>
  <si>
    <t>Total Received Qty</t>
  </si>
  <si>
    <t>Average Cost</t>
  </si>
  <si>
    <t>Total Store Value</t>
  </si>
  <si>
    <t>STORE INVENTORY</t>
  </si>
  <si>
    <t>Main Store balance — Min/Max Par Level with automatic Reorder Status</t>
  </si>
  <si>
    <t>AVAILABLE QTY</t>
  </si>
  <si>
    <t>AVERAGE COST</t>
  </si>
  <si>
    <t>STORE VALUE</t>
  </si>
  <si>
    <t>MIN PAR LEVEL</t>
  </si>
  <si>
    <t>MAX PAR LEVEL</t>
  </si>
  <si>
    <t>REORDER STATUS</t>
  </si>
  <si>
    <t>DAYS COVER (est.)</t>
  </si>
  <si>
    <t>REORDER RANK</t>
  </si>
  <si>
    <t>STORE ISSUE</t>
  </si>
  <si>
    <t>Stock issued from the Main Store to the outlet's Kitchen &amp; Bar</t>
  </si>
  <si>
    <t>Enter each issue event's date in row 3 above its column; one column = one issue to Kitchen &amp; Bar.</t>
  </si>
  <si>
    <t>Issue 1</t>
  </si>
  <si>
    <t>Issue 2</t>
  </si>
  <si>
    <t>Issue 3</t>
  </si>
  <si>
    <t>Issue 4</t>
  </si>
  <si>
    <t>Issue 5</t>
  </si>
  <si>
    <t>Issue 6</t>
  </si>
  <si>
    <t>Issue 7</t>
  </si>
  <si>
    <t>Issue 8</t>
  </si>
  <si>
    <t>Issue 9</t>
  </si>
  <si>
    <t>Total Issued Qty</t>
  </si>
  <si>
    <t>Issue Value</t>
  </si>
  <si>
    <t>Remaining Qty</t>
  </si>
  <si>
    <t>Issue Value by Category (per event) — feeds Daily Flash Cost</t>
  </si>
  <si>
    <t>Event Date</t>
  </si>
  <si>
    <t>Food Issue Value</t>
  </si>
  <si>
    <t>Beverage Issue Value</t>
  </si>
  <si>
    <t>KITCHEN &amp; BAR RECEIVING</t>
  </si>
  <si>
    <t>Confirms what the outlet actually received from the Main Store</t>
  </si>
  <si>
    <t>Receiving 1</t>
  </si>
  <si>
    <t>Receiving 2</t>
  </si>
  <si>
    <t>Receiving 3</t>
  </si>
  <si>
    <t>Receiving 4</t>
  </si>
  <si>
    <t>Receiving 5</t>
  </si>
  <si>
    <t>Receiving 6</t>
  </si>
  <si>
    <t>Receiving 7</t>
  </si>
  <si>
    <t>Receiving 8</t>
  </si>
  <si>
    <t>Receiving 9</t>
  </si>
  <si>
    <t>Total Received</t>
  </si>
  <si>
    <t>Inventory Value</t>
  </si>
  <si>
    <t>DAILY INVENTORY</t>
  </si>
  <si>
    <t>Daily physical stock counts at the outlet — raw ingredients</t>
  </si>
  <si>
    <t>Opening Qty</t>
  </si>
  <si>
    <t>Day 1</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</si>
  <si>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</si>
  <si>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</si>
  <si>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</si>
  <si>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</si>
  <si>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</si>
  <si>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</si>
  <si>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</si>
  <si>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</si>
  <si>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</si>
  <si>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</si>
  <si>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</si>
  <si>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</si>
  <si>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</si>
  <si>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</si>
  <si>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</si>
  <si>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</si>
  <si>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</si>
  <si>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</si>
  <si>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</si>
  <si>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</si>
  <si>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</si>
  <si>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</si>
  <si>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</si>
  <si>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</si>
  <si>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</si>
  <si>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</si>
  <si>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</si>
  <si>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</si>
  <si>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</si>
  <si>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Day 31</t>
  </si>
  <si>
    <t>SEMI-FINISHED INVENTORY</t>
  </si>
  <si>
    <t>Daily physical stock counts at the outlet — homemade prep (Sub-Recipe) items</t>
  </si>
  <si>
    <t>WASTAGE</t>
  </si>
  <si>
    <t>Every item spoiled, dropped or discarded — logged as it happens</t>
  </si>
  <si>
    <t>Wastage No.</t>
  </si>
  <si>
    <t>Date</t>
  </si>
  <si>
    <t>Item Code</t>
  </si>
  <si>
    <t>Item Name</t>
  </si>
  <si>
    <t>Qty Wasted</t>
  </si>
  <si>
    <t>Wastage Value</t>
  </si>
  <si>
    <t>Wastage Type</t>
  </si>
  <si>
    <t>Reason</t>
  </si>
  <si>
    <t>Department</t>
  </si>
  <si>
    <t>Reported By</t>
  </si>
  <si>
    <t>Approved By</t>
  </si>
  <si>
    <t>Spoilage</t>
  </si>
  <si>
    <t>Over-ripened before use</t>
  </si>
  <si>
    <t>Kitchen</t>
  </si>
  <si>
    <t>Chef A</t>
  </si>
  <si>
    <t>Manager K</t>
  </si>
  <si>
    <t>Wilted</t>
  </si>
  <si>
    <t>Spillage</t>
  </si>
  <si>
    <t>Dropped during prep</t>
  </si>
  <si>
    <t>Bar</t>
  </si>
  <si>
    <t>Barista B</t>
  </si>
  <si>
    <t>Breakage</t>
  </si>
  <si>
    <t>Broken in delivery</t>
  </si>
  <si>
    <t>DAILY VOID</t>
  </si>
  <si>
    <t>POS transactions that were cancelled or voided after ringing</t>
  </si>
  <si>
    <t>Void No.</t>
  </si>
  <si>
    <t>Time</t>
  </si>
  <si>
    <t>POS Bill No.</t>
  </si>
  <si>
    <t>Menu Code</t>
  </si>
  <si>
    <t>Qty</t>
  </si>
  <si>
    <t>Selling Price</t>
  </si>
  <si>
    <t>Void Amount</t>
  </si>
  <si>
    <t>Cost Value</t>
  </si>
  <si>
    <t>Void Reason</t>
  </si>
  <si>
    <t>Cashier</t>
  </si>
  <si>
    <t>Authorized By</t>
  </si>
  <si>
    <t>Remarks</t>
  </si>
  <si>
    <t>12:40</t>
  </si>
  <si>
    <t>B-1042</t>
  </si>
  <si>
    <t>Wrong item rung</t>
  </si>
  <si>
    <t>Cashier J</t>
  </si>
  <si>
    <t>19:15</t>
  </si>
  <si>
    <t>B-1108</t>
  </si>
  <si>
    <t>Guest changed order</t>
  </si>
  <si>
    <t>COMPLEMENTARY</t>
  </si>
  <si>
    <t>Food and drink given away free — management comps, guest recovery, tastings</t>
  </si>
  <si>
    <t>Comp No.</t>
  </si>
  <si>
    <t>Bill No.</t>
  </si>
  <si>
    <t>Sales Value</t>
  </si>
  <si>
    <t>Standard Cost</t>
  </si>
  <si>
    <t>Guest / Company</t>
  </si>
  <si>
    <t>13:10</t>
  </si>
  <si>
    <t>B-1071</t>
  </si>
  <si>
    <t>Manager Comp</t>
  </si>
  <si>
    <t>Regular guest</t>
  </si>
  <si>
    <t>DAILY STAFF MEAL</t>
  </si>
  <si>
    <t>Meals prepared for staff — costed at raw-ingredient standard cost</t>
  </si>
  <si>
    <t>Entry No.</t>
  </si>
  <si>
    <t>Item / Meal Name</t>
  </si>
  <si>
    <t>Unit Cost</t>
  </si>
  <si>
    <t>Total Cost</t>
  </si>
  <si>
    <t>Staff lunch</t>
  </si>
  <si>
    <t>Staff breakfast</t>
  </si>
  <si>
    <t>DAILY SALES</t>
  </si>
  <si>
    <t>Every menu item sold, day by day for the month — drives Flash Cost, Variance &amp; Menu Engineering</t>
  </si>
  <si>
    <t>SELLING PRICE</t>
  </si>
  <si>
    <t>STANDARD COST</t>
  </si>
  <si>
    <t>MONTHLY QTY</t>
  </si>
  <si>
    <t>MONTHLY SALES (ETB)</t>
  </si>
  <si>
    <t>MONTHLY THEO. COST (ETB)</t>
  </si>
  <si>
    <t>THEORETICAL CONSUMPTION</t>
  </si>
  <si>
    <t>What SHOULD have been used per recipe, vs what was actually issued from the Main Store</t>
  </si>
  <si>
    <t>Direct Recipe Usage</t>
  </si>
  <si>
    <t>Via Sub-Recipe Usage</t>
  </si>
  <si>
    <t>TOTAL THEORETICAL QTY</t>
  </si>
  <si>
    <t>THEORETICAL COST</t>
  </si>
  <si>
    <t>ACTUAL QTY ISSUED</t>
  </si>
  <si>
    <t>ACTUAL COST</t>
  </si>
  <si>
    <t>VARIANCE QTY</t>
  </si>
  <si>
    <t>VARIANCE COST</t>
  </si>
  <si>
    <t>VARIANCE %</t>
  </si>
  <si>
    <t>INVENTORY VARIANCE</t>
  </si>
  <si>
    <t>Perpetual book stock vs physical count at the outlet — where shrinkage hides</t>
  </si>
  <si>
    <t>BOOK QTY (Kitchen Expected)</t>
  </si>
  <si>
    <t>PHYSICAL COUNT (latest, enter below)</t>
  </si>
  <si>
    <t>QTY VARIANCE</t>
  </si>
  <si>
    <t>COST VARIANCE</t>
  </si>
  <si>
    <t>DAILY FLASH COST</t>
  </si>
  <si>
    <t>Daily food cost %, gross profit — the daily control panel</t>
  </si>
  <si>
    <t>Description</t>
  </si>
  <si>
    <t>MONTHLY TOTAL</t>
  </si>
  <si>
    <t>Food Sales</t>
  </si>
  <si>
    <t>Beverage Sales</t>
  </si>
  <si>
    <t>Gross Sales</t>
  </si>
  <si>
    <t>Less: Void Sales</t>
  </si>
  <si>
    <t>Less: Complimentary Sales</t>
  </si>
  <si>
    <t>Net Sales</t>
  </si>
  <si>
    <t>Food Theoretical Cost</t>
  </si>
  <si>
    <t>Beverage Theoretical Cost</t>
  </si>
  <si>
    <t>Total Theoretical Cost</t>
  </si>
  <si>
    <t>Food Actual Cost</t>
  </si>
  <si>
    <t>Beverage Actual Cost</t>
  </si>
  <si>
    <t>Total Actual Cost</t>
  </si>
  <si>
    <t>Food Wastage</t>
  </si>
  <si>
    <t>Beverage Wastage</t>
  </si>
  <si>
    <t>Staff Meal Cost</t>
  </si>
  <si>
    <t>Inventory Variance (Cost)</t>
  </si>
  <si>
    <t>Gross Profit</t>
  </si>
  <si>
    <t>Food Cost %</t>
  </si>
  <si>
    <t>Beverage Cost %</t>
  </si>
  <si>
    <t>Overall F&amp;B Cost %</t>
  </si>
  <si>
    <t>MENU ENGINEERING</t>
  </si>
  <si>
    <t>Classifies each dish as a Star, Plowhorse, Puzzle or Dog by profitability and popularity</t>
  </si>
  <si>
    <t>QTY SOLD (Month)</t>
  </si>
  <si>
    <t>CONTRIBUTION MARGIN</t>
  </si>
  <si>
    <t>POPULARITY</t>
  </si>
  <si>
    <t>CLASSIFICATION</t>
  </si>
  <si>
    <t>RECOMMENDATION</t>
  </si>
  <si>
    <t>MONTHLY REVENUE</t>
  </si>
  <si>
    <t>QTY RANK</t>
  </si>
  <si>
    <t>REVENUE RANK</t>
  </si>
  <si>
    <t>MONTHLY RECONCILIATION</t>
  </si>
  <si>
    <t>Full month-end reconciliation of cost — Food, Beverage, and combined F&amp;B</t>
  </si>
  <si>
    <t>1.  FOOD RECONCILIATION</t>
  </si>
  <si>
    <t>Amount (ETB)</t>
  </si>
  <si>
    <t>Beginning Food Inventory</t>
  </si>
  <si>
    <t>(+) Store Issues to Kitchen</t>
  </si>
  <si>
    <t>(+) Direct Food Purchases</t>
  </si>
  <si>
    <t>Total Food Available</t>
  </si>
  <si>
    <t>(-) Closing Kitchen Inventory</t>
  </si>
  <si>
    <t>Food Consumed (Actual Cost)</t>
  </si>
  <si>
    <t>Complimentary Food Cost</t>
  </si>
  <si>
    <t>Staff Meal Food Cost</t>
  </si>
  <si>
    <t>Inventory Variance (Food)</t>
  </si>
  <si>
    <t>Adjusted Food Cost</t>
  </si>
  <si>
    <t>Food Gross Profit</t>
  </si>
  <si>
    <t>Food Gross Profit %</t>
  </si>
  <si>
    <t>2.  BEVERAGE RECONCILIATION</t>
  </si>
  <si>
    <t>Beginning Beverage Inventory</t>
  </si>
  <si>
    <t>(+) Store Issues to Kitchen &amp; Bar</t>
  </si>
  <si>
    <t>(+) Direct Beverage Purchases</t>
  </si>
  <si>
    <t>Total Beverage Available</t>
  </si>
  <si>
    <t>(-) Closing Bar Inventory</t>
  </si>
  <si>
    <t>Beverage Consumed (Actual Cost)</t>
  </si>
  <si>
    <t>Complimentary Beverage Cost</t>
  </si>
  <si>
    <t>Staff Meal Beverage Cost</t>
  </si>
  <si>
    <t>Inventory Variance (Beverage)</t>
  </si>
  <si>
    <t>Adjusted Beverage Cost</t>
  </si>
  <si>
    <t>Beverage Gross Profit</t>
  </si>
  <si>
    <t>Beverage Gross Profit %</t>
  </si>
  <si>
    <t>3.  COMBINED F&amp;B SUMMARY</t>
  </si>
  <si>
    <t>Total F&amp;B Sales</t>
  </si>
  <si>
    <t>Total Adjusted F&amp;B Cost</t>
  </si>
  <si>
    <t>Total F&amp;B Gross Profit</t>
  </si>
  <si>
    <t>Food Cost % of Total F&amp;B Sales</t>
  </si>
  <si>
    <t>Beverage Cost % of Total F&amp;B Sales</t>
  </si>
  <si>
    <t>Overall F&amp;B Gross Profit %</t>
  </si>
  <si>
    <t>F&amp;B Controlling System | Live — updates automatically as data is entered</t>
  </si>
  <si>
    <t>System Guide &amp; Overview</t>
  </si>
  <si>
    <t xml:space="preserve">All ingredients are purchased into and valued in one Main Store (moving-average costing). The Main Store issues stock to the outlet's Kitchen &amp; Bar, which is where daily consumption, sales, and wastage are tracked.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</si>
</sst>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
    <numFmt numFmtId="165" formatCode="0.0%;\(0.0%\);\-"/>
    <numFmt numFmtId="166" formatCode="#,##0.###;\(#,##0.###\);\-"/>
    <numFmt numFmtId="167" formatCode="#,##0.00;\(#,##0.00\);\-"/>
    <numFmt numFmtId="168" formatCode="dd\-mmm\-yy"/>
    <numFmt numFmtId="169" formatCode="#,##0.0"/>
  </numFmts>
  <fonts count="28" x14ac:knownFonts="1">
    <font>
      <sz val="11"/>
      <color theme="1"/>
      <name val="Calibri"/>
      <family val="2"/>
      <charset val="1"/>
    </font>
    <font>
      <b/>
      <sz val="15"/>
      <color rgb="FFFFFFFF"/>
      <name val="Arial"/>
      <charset val="1"/>
    </font>
    <font>
      <sz val="9"/>
      <color rgb="FF5B6B8C"/>
      <name val="Arial"/>
      <charset val="1"/>
    </font>
    <font>
      <b/>
      <sz val="11"/>
      <color rgb="FFFFFFFF"/>
      <name val="Arial"/>
      <charset val="1"/>
    </font>
    <font>
      <b/>
      <sz val="8.5"/>
      <color rgb="FF5B6B8C"/>
      <name val="Arial"/>
      <charset val="1"/>
    </font>
    <font>
      <b/>
      <sz val="15"/>
      <color rgb="FF1F2A44"/>
      <name val="Arial"/>
      <charset val="1"/>
    </font>
    <font>
      <b/>
      <sz val="15"/>
      <color rgb="FF0E7C7B"/>
      <name val="Arial"/>
      <charset val="1"/>
    </font>
    <font>
      <b/>
      <sz val="15"/>
      <color rgb="FF1E7B34"/>
      <name val="Arial"/>
      <charset val="1"/>
    </font>
    <font>
      <b/>
      <sz val="15"/>
      <color rgb="FFB8860B"/>
      <name val="Arial"/>
      <charset val="1"/>
    </font>
    <font>
      <b/>
      <sz val="15"/>
      <color rgb="FFB00020"/>
      <name val="Arial"/>
      <charset val="1"/>
    </font>
    <font>
      <b/>
      <sz val="9.5"/>
      <color rgb="FF1F2A44"/>
      <name val="Arial"/>
      <charset val="1"/>
    </font>
    <font>
      <b/>
      <sz val="10"/>
      <color rgb="FF1F2A44"/>
      <name val="Arial"/>
      <charset val="1"/>
    </font>
    <font>
      <sz val="10"/>
      <color rgb="FF000000"/>
      <name val="Arial"/>
      <charset val="1"/>
    </font>
    <font>
      <b/>
      <sz val="10"/>
      <color rgb="FFB00020"/>
      <name val="Arial"/>
      <charset val="1"/>
    </font>
    <font>
      <b/>
      <sz val="10"/>
      <color rgb="FF0E7C7B"/>
      <name val="Arial"/>
      <charset val="1"/>
    </font>
    <font>
      <sz val="10"/>
      <color rgb="FF1155CC"/>
      <name val="Arial"/>
      <charset val="1"/>
    </font>
    <font>
      <b/>
      <sz val="10"/>
      <color rgb="FF000000"/>
      <name val="Arial"/>
      <charset val="1"/>
    </font>
    <font>
      <sz val="10"/>
      <color rgb="FF0B7A3B"/>
      <name val="Arial"/>
      <charset val="1"/>
    </font>
    <font>
      <b/>
      <sz val="10"/>
      <color rgb="FF1155CC"/>
      <name val="Arial"/>
      <charset val="1"/>
    </font>
    <font>
      <b/>
      <sz val="10"/>
      <color rgb="FF0B7A3B"/>
      <name val="Arial"/>
      <charset val="1"/>
    </font>
    <font>
      <sz val="9"/>
      <color rgb="FF7A7A7A"/>
      <name val="Arial"/>
      <charset val="1"/>
    </font>
    <font>
      <b/>
      <sz val="9"/>
      <color rgb="FF0E7C7B"/>
      <name val="Arial"/>
      <charset val="1"/>
    </font>
    <font>
      <b/>
      <sz val="9"/>
      <color rgb="FF1F2A44"/>
      <name val="Arial"/>
      <charset val="1"/>
    </font>
    <font>
      <sz val="9"/>
      <color rgb="FF000000"/>
      <name val="Arial"/>
      <charset val="1"/>
    </font>
    <font>
      <sz val="9"/>
      <color rgb="FF5B6B8C"/>
      <name val="Arial"/>
      <family val="2"/>
    </font>
    <font>
      <sz val="10"/>
      <color rgb="FF000000"/>
      <name val="Arial"/>
      <family val="2"/>
    </font>
    <font>
      <sz val="10"/>
      <name val="Arial"/>
      <family val="2"/>
    </font>
    <font>
      <b/>
      <sz val="11"/>
      <color rgb="FF0E7C7B"/>
      <name val="Arial"/>
      <family val="2"/>
    </font>
  </fonts>
  <fills count="10">
    <fill>
      <patternFill patternType="none"/>
    </fill>
    <fill>
      <patternFill patternType="gray125"/>
    </fill>
    <fill>
      <patternFill patternType="solid">
        <fgColor rgb="FF1F2A44"/>
        <bgColor rgb="FF003366"/>
      </patternFill>
    </fill>
    <fill>
      <patternFill patternType="solid">
        <fgColor rgb="FF0E7C7B"/>
        <bgColor rgb="FF0B7A3B"/>
      </patternFill>
    </fill>
    <fill>
      <patternFill patternType="solid">
        <fgColor rgb="FFF7F9FC"/>
        <bgColor rgb="FFFFFFFF"/>
      </patternFill>
    </fill>
    <fill>
      <patternFill patternType="solid">
        <fgColor rgb="FFE8ECF3"/>
        <bgColor rgb="FFD6E4F0"/>
      </patternFill>
    </fill>
    <fill>
      <patternFill patternType="solid">
        <fgColor rgb="FFD6E4F0"/>
        <bgColor rgb="FFD9D9D9"/>
      </patternFill>
    </fill>
    <fill>
      <patternFill patternType="solid">
        <fgColor rgb="FFD9D9D9"/>
        <bgColor rgb="FFC9D3E0"/>
      </patternFill>
    </fill>
    <fill>
      <patternFill patternType="solid">
        <fgColor theme="3" tint="0.79998168889431442"/>
        <bgColor indexed="64"/>
      </patternFill>
    </fill>
    <fill>
      <patternFill patternType="solid">
        <fgColor theme="0" tint="-4.9989318521683403E-2"/>
        <bgColor indexed="64"/>
      </patternFill>
    </fill>
  </fills>
  <borders count="4">
    <border>
      <left/>
      <right/>
      <top/>
      <bottom/>
      <diagonal/>
    </border>
    <border>
      <left style="thin">
        <color rgb="FFC9D3E0"/>
      </left>
      <right style="thin">
        <color rgb="FFC9D3E0"/>
      </right>
      <top style="thin">
        <color rgb="FFC9D3E0"/>
      </top>
      <bottom style="thin">
        <color rgb="FFC9D3E0"/>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s>
  <cellStyleXfs count="1">
    <xf numFmtId="0" fontId="0" fillId="0" borderId="0"/>
  </cellStyleXfs>
  <cellXfs count="77">
    <xf numFmtId="0" fontId="0" fillId="0" borderId="0" xfId="0"/>
    <xf numFmtId="1" fontId="8" fillId="4" borderId="1" xfId="0" applyNumberFormat="1" applyFont="1" applyFill="1" applyBorder="1" applyAlignment="1">
      <alignment horizontal="left" vertical="center" indent="1"/>
    </xf>
    <xf numFmtId="1" fontId="9" fillId="4" borderId="1" xfId="0" applyNumberFormat="1" applyFont="1" applyFill="1" applyBorder="1" applyAlignment="1">
      <alignment horizontal="left" vertical="center" indent="1"/>
    </xf>
    <xf numFmtId="164" fontId="9" fillId="4" borderId="1" xfId="0" applyNumberFormat="1" applyFont="1" applyFill="1" applyBorder="1" applyAlignment="1">
      <alignment horizontal="left" vertical="center" indent="1"/>
    </xf>
    <xf numFmtId="1" fontId="5" fillId="4" borderId="1" xfId="0" applyNumberFormat="1" applyFont="1" applyFill="1" applyBorder="1" applyAlignment="1">
      <alignment horizontal="left" vertical="center" indent="1"/>
    </xf>
    <xf numFmtId="165" fontId="5" fillId="4" borderId="1" xfId="0" applyNumberFormat="1" applyFont="1" applyFill="1" applyBorder="1" applyAlignment="1">
      <alignment horizontal="left" vertical="center" indent="1"/>
    </xf>
    <xf numFmtId="165" fontId="7" fillId="4" borderId="1" xfId="0" applyNumberFormat="1" applyFont="1" applyFill="1" applyBorder="1" applyAlignment="1">
      <alignment horizontal="left" vertical="center" indent="1"/>
    </xf>
    <xf numFmtId="165" fontId="8" fillId="4" borderId="1" xfId="0" applyNumberFormat="1" applyFont="1" applyFill="1" applyBorder="1" applyAlignment="1">
      <alignment horizontal="left" vertical="center" indent="1"/>
    </xf>
    <xf numFmtId="164" fontId="7" fillId="4" borderId="1" xfId="0" applyNumberFormat="1" applyFont="1" applyFill="1" applyBorder="1" applyAlignment="1">
      <alignment horizontal="left" vertical="center" indent="1"/>
    </xf>
    <xf numFmtId="164" fontId="6" fillId="4" borderId="1" xfId="0" applyNumberFormat="1" applyFont="1" applyFill="1" applyBorder="1" applyAlignment="1">
      <alignment horizontal="left" vertical="center" indent="1"/>
    </xf>
    <xf numFmtId="164" fontId="5" fillId="4" borderId="1" xfId="0" applyNumberFormat="1" applyFont="1" applyFill="1" applyBorder="1" applyAlignment="1">
      <alignment horizontal="left" vertical="center" indent="1"/>
    </xf>
    <xf numFmtId="0" fontId="4" fillId="4" borderId="1" xfId="0" applyFont="1" applyFill="1" applyBorder="1" applyAlignment="1">
      <alignment horizontal="left" vertical="center" indent="1"/>
    </xf>
    <xf numFmtId="0" fontId="3" fillId="3" borderId="0" xfId="0" applyFont="1" applyFill="1" applyBorder="1" applyAlignment="1">
      <alignment horizontal="left" vertical="center" indent="1"/>
    </xf>
    <xf numFmtId="0" fontId="2" fillId="0" borderId="0" xfId="0" applyFont="1" applyBorder="1" applyAlignment="1">
      <alignment horizontal="left" vertical="center" indent="1"/>
    </xf>
    <xf numFmtId="0" fontId="1" fillId="2" borderId="0" xfId="0" applyFont="1" applyFill="1" applyBorder="1" applyAlignment="1">
      <alignment horizontal="left" vertical="center" indent="1"/>
    </xf>
    <xf numFmtId="0" fontId="11" fillId="5" borderId="2" xfId="0" applyFont="1" applyFill="1" applyBorder="1" applyAlignment="1">
      <alignment horizontal="center" vertical="center" wrapText="1"/>
    </xf>
    <xf numFmtId="0" fontId="12" fillId="0" borderId="2" xfId="0" applyFont="1" applyBorder="1"/>
    <xf numFmtId="166" fontId="12" fillId="0" borderId="2" xfId="0" applyNumberFormat="1" applyFont="1" applyBorder="1"/>
    <xf numFmtId="0" fontId="13" fillId="0" borderId="2" xfId="0" applyFont="1" applyBorder="1"/>
    <xf numFmtId="164" fontId="12" fillId="0" borderId="2" xfId="0" applyNumberFormat="1" applyFont="1" applyBorder="1"/>
    <xf numFmtId="164" fontId="15" fillId="0" borderId="2" xfId="0" applyNumberFormat="1" applyFont="1" applyBorder="1"/>
    <xf numFmtId="0" fontId="11" fillId="5" borderId="0" xfId="0" applyFont="1" applyFill="1"/>
    <xf numFmtId="0" fontId="12" fillId="0" borderId="0" xfId="0" applyFont="1"/>
    <xf numFmtId="0" fontId="16" fillId="7" borderId="0" xfId="0" applyFont="1" applyFill="1"/>
    <xf numFmtId="166" fontId="15" fillId="0" borderId="2" xfId="0" applyNumberFormat="1" applyFont="1" applyBorder="1"/>
    <xf numFmtId="164" fontId="17" fillId="0" borderId="2" xfId="0" applyNumberFormat="1" applyFont="1" applyBorder="1"/>
    <xf numFmtId="166" fontId="17" fillId="0" borderId="2" xfId="0" applyNumberFormat="1" applyFont="1" applyBorder="1"/>
    <xf numFmtId="0" fontId="12" fillId="7" borderId="2" xfId="0" applyFont="1" applyFill="1" applyBorder="1"/>
    <xf numFmtId="0" fontId="16" fillId="7" borderId="2" xfId="0" applyFont="1" applyFill="1" applyBorder="1"/>
    <xf numFmtId="0" fontId="0" fillId="7" borderId="2" xfId="0" applyFill="1" applyBorder="1"/>
    <xf numFmtId="164" fontId="16" fillId="7" borderId="2" xfId="0" applyNumberFormat="1" applyFont="1" applyFill="1" applyBorder="1"/>
    <xf numFmtId="0" fontId="0" fillId="0" borderId="2" xfId="0" applyBorder="1"/>
    <xf numFmtId="166" fontId="18" fillId="7" borderId="2" xfId="0" applyNumberFormat="1" applyFont="1" applyFill="1" applyBorder="1"/>
    <xf numFmtId="167" fontId="16" fillId="7" borderId="2" xfId="0" applyNumberFormat="1" applyFont="1" applyFill="1" applyBorder="1"/>
    <xf numFmtId="166" fontId="19" fillId="7" borderId="2" xfId="0" applyNumberFormat="1" applyFont="1" applyFill="1" applyBorder="1"/>
    <xf numFmtId="166" fontId="16" fillId="7" borderId="2" xfId="0" applyNumberFormat="1" applyFont="1" applyFill="1" applyBorder="1"/>
    <xf numFmtId="0" fontId="20" fillId="0" borderId="0" xfId="0" applyFont="1"/>
    <xf numFmtId="166" fontId="16" fillId="0" borderId="2" xfId="0" applyNumberFormat="1" applyFont="1" applyBorder="1"/>
    <xf numFmtId="164" fontId="16" fillId="0" borderId="2" xfId="0" applyNumberFormat="1" applyFont="1" applyBorder="1"/>
    <xf numFmtId="0" fontId="16" fillId="0" borderId="2" xfId="0" applyFont="1" applyBorder="1" applyAlignment="1">
      <alignment horizontal="center"/>
    </xf>
    <xf numFmtId="169" fontId="12" fillId="0" borderId="2" xfId="0" applyNumberFormat="1" applyFont="1" applyBorder="1"/>
    <xf numFmtId="168" fontId="18" fillId="0" borderId="0" xfId="0" applyNumberFormat="1" applyFont="1" applyAlignment="1">
      <alignment horizontal="center"/>
    </xf>
    <xf numFmtId="0" fontId="18" fillId="0" borderId="0" xfId="0" applyFont="1" applyAlignment="1">
      <alignment horizontal="center"/>
    </xf>
    <xf numFmtId="0" fontId="21" fillId="0" borderId="0" xfId="0" applyFont="1"/>
    <xf numFmtId="0" fontId="11" fillId="0" borderId="0" xfId="0" applyFont="1"/>
    <xf numFmtId="168" fontId="17" fillId="0" borderId="0" xfId="0" applyNumberFormat="1" applyFont="1" applyAlignment="1">
      <alignment horizontal="center"/>
    </xf>
    <xf numFmtId="164" fontId="12" fillId="0" borderId="0" xfId="0" applyNumberFormat="1" applyFont="1"/>
    <xf numFmtId="168" fontId="15" fillId="0" borderId="2" xfId="0" applyNumberFormat="1" applyFont="1" applyBorder="1"/>
    <xf numFmtId="0" fontId="15" fillId="0" borderId="2" xfId="0" applyFont="1" applyBorder="1"/>
    <xf numFmtId="0" fontId="17" fillId="0" borderId="2" xfId="0" applyFont="1" applyBorder="1"/>
    <xf numFmtId="164" fontId="0" fillId="0" borderId="2" xfId="0" applyNumberFormat="1" applyBorder="1"/>
    <xf numFmtId="165" fontId="12" fillId="0" borderId="2" xfId="0" applyNumberFormat="1" applyFont="1" applyBorder="1"/>
    <xf numFmtId="0" fontId="11" fillId="5" borderId="2" xfId="0" applyFont="1" applyFill="1" applyBorder="1"/>
    <xf numFmtId="16" fontId="22" fillId="5" borderId="2" xfId="0" applyNumberFormat="1" applyFont="1" applyFill="1" applyBorder="1" applyAlignment="1">
      <alignment horizontal="center"/>
    </xf>
    <xf numFmtId="0" fontId="11" fillId="5" borderId="2" xfId="0" applyFont="1" applyFill="1" applyBorder="1" applyAlignment="1">
      <alignment horizontal="center" wrapText="1"/>
    </xf>
    <xf numFmtId="164" fontId="12" fillId="7" borderId="2" xfId="0" applyNumberFormat="1" applyFont="1" applyFill="1" applyBorder="1"/>
    <xf numFmtId="0" fontId="12" fillId="0" borderId="2" xfId="0" applyFont="1" applyBorder="1" applyAlignment="1">
      <alignment horizontal="center"/>
    </xf>
    <xf numFmtId="0" fontId="23" fillId="0" borderId="2" xfId="0" applyFont="1" applyBorder="1"/>
    <xf numFmtId="165" fontId="16" fillId="7" borderId="2" xfId="0" applyNumberFormat="1" applyFont="1" applyFill="1" applyBorder="1"/>
    <xf numFmtId="1" fontId="7" fillId="4" borderId="1" xfId="0" applyNumberFormat="1" applyFont="1" applyFill="1" applyBorder="1" applyAlignment="1">
      <alignment horizontal="left" vertical="center" indent="1"/>
    </xf>
    <xf numFmtId="0" fontId="10" fillId="0" borderId="0" xfId="0" applyFont="1" applyBorder="1"/>
    <xf numFmtId="0" fontId="2" fillId="0" borderId="0" xfId="0" applyFont="1" applyBorder="1" applyAlignment="1">
      <alignment vertical="top" wrapText="1"/>
    </xf>
    <xf numFmtId="0" fontId="12" fillId="0" borderId="0" xfId="0" applyFont="1" applyBorder="1" applyAlignment="1">
      <alignment horizontal="left" vertical="top" wrapText="1"/>
    </xf>
    <xf numFmtId="0" fontId="11" fillId="6" borderId="2" xfId="0" applyFont="1" applyFill="1" applyBorder="1" applyAlignment="1">
      <alignment horizontal="left" vertical="center" indent="1"/>
    </xf>
    <xf numFmtId="0" fontId="11" fillId="6" borderId="0" xfId="0" applyFont="1" applyFill="1" applyBorder="1" applyAlignment="1">
      <alignment horizontal="left" vertical="center" indent="1"/>
    </xf>
    <xf numFmtId="168" fontId="18" fillId="0" borderId="0" xfId="0" applyNumberFormat="1" applyFont="1" applyBorder="1" applyAlignment="1">
      <alignment horizontal="center"/>
    </xf>
    <xf numFmtId="0" fontId="18" fillId="0" borderId="0" xfId="0" applyFont="1" applyBorder="1" applyAlignment="1">
      <alignment horizontal="center"/>
    </xf>
    <xf numFmtId="0" fontId="11" fillId="6" borderId="3" xfId="0" applyFont="1" applyFill="1" applyBorder="1" applyAlignment="1">
      <alignment horizontal="left" vertical="center" indent="1"/>
    </xf>
    <xf numFmtId="0" fontId="24" fillId="0" borderId="0" xfId="0" applyFont="1" applyBorder="1" applyAlignment="1">
      <alignment horizontal="left" vertical="center" indent="1"/>
    </xf>
    <xf numFmtId="0" fontId="25" fillId="0" borderId="0" xfId="0" applyFont="1" applyBorder="1" applyAlignment="1">
      <alignment horizontal="left" vertical="top" wrapText="1"/>
    </xf>
    <xf numFmtId="0" fontId="14" fillId="8" borderId="0" xfId="0" applyFont="1" applyFill="1"/>
    <xf numFmtId="0" fontId="14" fillId="9" borderId="0" xfId="0" applyFont="1" applyFill="1"/>
    <xf numFmtId="0" fontId="26" fillId="9" borderId="0" xfId="0" applyFont="1" applyFill="1" applyBorder="1" applyAlignment="1">
      <alignment vertical="top" wrapText="1"/>
    </xf>
    <xf numFmtId="0" fontId="26" fillId="8" borderId="0" xfId="0" applyFont="1" applyFill="1" applyBorder="1" applyAlignment="1">
      <alignment vertical="top" wrapText="1"/>
    </xf>
    <xf numFmtId="0" fontId="27" fillId="9" borderId="0" xfId="0" applyFont="1" applyFill="1"/>
    <xf numFmtId="0" fontId="27" fillId="8" borderId="0" xfId="0" applyFont="1" applyFill="1"/>
    <xf numFmtId="0" fontId="12" fillId="0" borderId="2" xfId="0" applyFont="1" applyBorder="1" applyAlignment="1">
      <alignment wrapText="1"/>
    </xf>
  </cellXfs>
  <cellStyles count="1">
    <cellStyle name="Normal" xfId="0" builtinId="0"/>
  </cellStyles>
  <dxfs count="10">
    <dxf>
      <font>
        <b/>
        <color rgb="FFB00020"/>
      </font>
      <fill>
        <patternFill>
          <bgColor rgb="FFF8CBCB"/>
        </patternFill>
      </fill>
    </dxf>
    <dxf>
      <font>
        <b/>
        <color rgb="FF0E7C7B"/>
      </font>
      <fill>
        <patternFill>
          <bgColor rgb="FFD6E4F0"/>
        </patternFill>
      </fill>
    </dxf>
    <dxf>
      <font>
        <b/>
        <color rgb="FFB8860B"/>
      </font>
      <fill>
        <patternFill>
          <bgColor rgb="FFFCEBB6"/>
        </patternFill>
      </fill>
    </dxf>
    <dxf>
      <font>
        <b/>
        <color rgb="FF1E7B34"/>
      </font>
      <fill>
        <patternFill>
          <bgColor rgb="FFD9F0D9"/>
        </patternFill>
      </fill>
    </dxf>
    <dxf>
      <font>
        <b/>
        <color rgb="FFB00020"/>
      </font>
      <fill>
        <patternFill>
          <bgColor rgb="FFF8CBCB"/>
        </patternFill>
      </fill>
    </dxf>
    <dxf>
      <font>
        <b/>
        <color rgb="FFB8860B"/>
      </font>
      <fill>
        <patternFill>
          <bgColor rgb="FFFCEBB6"/>
        </patternFill>
      </fill>
    </dxf>
    <dxf>
      <font>
        <b/>
        <color rgb="FF1E7B34"/>
      </font>
      <fill>
        <patternFill>
          <bgColor rgb="FFD9F0D9"/>
        </patternFill>
      </fill>
    </dxf>
    <dxf>
      <font>
        <b/>
        <color rgb="FF1E7B34"/>
      </font>
      <fill>
        <patternFill>
          <bgColor rgb="FFD9F0D9"/>
        </patternFill>
      </fill>
    </dxf>
    <dxf>
      <font>
        <b/>
        <color rgb="FFB8860B"/>
      </font>
      <fill>
        <patternFill>
          <bgColor rgb="FFFCEBB6"/>
        </patternFill>
      </fill>
    </dxf>
    <dxf>
      <font>
        <b/>
        <color rgb="FFB00020"/>
      </font>
      <fill>
        <patternFill>
          <bgColor rgb="FFF8CBCB"/>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B00020"/>
      <rgbColor rgb="FF0B7A3B"/>
      <rgbColor rgb="FF000080"/>
      <rgbColor rgb="FFB8860B"/>
      <rgbColor rgb="FF800080"/>
      <rgbColor rgb="FF0E7C7B"/>
      <rgbColor rgb="FFB7B7B7"/>
      <rgbColor rgb="FF7A7A7A"/>
      <rgbColor rgb="FF9999FF"/>
      <rgbColor rgb="FF993366"/>
      <rgbColor rgb="FFFCEBB6"/>
      <rgbColor rgb="FFE8ECF3"/>
      <rgbColor rgb="FF660066"/>
      <rgbColor rgb="FFFF8080"/>
      <rgbColor rgb="FF1155CC"/>
      <rgbColor rgb="FFC9D3E0"/>
      <rgbColor rgb="FF000080"/>
      <rgbColor rgb="FFFF00FF"/>
      <rgbColor rgb="FFFFFF00"/>
      <rgbColor rgb="FF00FFFF"/>
      <rgbColor rgb="FF800080"/>
      <rgbColor rgb="FF800000"/>
      <rgbColor rgb="FF1E7B34"/>
      <rgbColor rgb="FF0000FF"/>
      <rgbColor rgb="FF00CCFF"/>
      <rgbColor rgb="FFD6E4F0"/>
      <rgbColor rgb="FFD9F0D9"/>
      <rgbColor rgb="FFF7F9FC"/>
      <rgbColor rgb="FFD9D9D9"/>
      <rgbColor rgb="FFFF99CC"/>
      <rgbColor rgb="FFCC99FF"/>
      <rgbColor rgb="FFF8CBCB"/>
      <rgbColor rgb="FF3366FF"/>
      <rgbColor rgb="FF33CCCC"/>
      <rgbColor rgb="FF99CC00"/>
      <rgbColor rgb="FFFFCC00"/>
      <rgbColor rgb="FFC9971C"/>
      <rgbColor rgb="FFFF6600"/>
      <rgbColor rgb="FF5B6B8C"/>
      <rgbColor rgb="FF8C8C8C"/>
      <rgbColor rgb="FF003366"/>
      <rgbColor rgb="FF339966"/>
      <rgbColor rgb="FF003300"/>
      <rgbColor rgb="FF333300"/>
      <rgbColor rgb="FF993300"/>
      <rgbColor rgb="FF993366"/>
      <rgbColor rgb="FF6A4FB6"/>
      <rgbColor rgb="FF1F2A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2A44"/>
  </sheetPr>
  <dimension ref="A1:L54"/>
  <sheetViews>
    <sheetView showGridLines="0" tabSelected="1" zoomScale="90" zoomScaleNormal="90" workbookViewId="0">
      <selection sqref="A1:L1"/>
    </sheetView>
  </sheetViews>
  <sheetFormatPr defaultColWidth="8.6640625" defaultRowHeight="14.4" x14ac:dyDescent="0.3"/>
  <cols>
    <col min="1" max="1" width="17.5546875" bestFit="1" customWidth="1"/>
    <col min="2" max="2" width="12.109375" bestFit="1" customWidth="1"/>
    <col min="3" max="3" width="12.33203125" bestFit="1" customWidth="1"/>
    <col min="4" max="4" width="7.5546875" bestFit="1" customWidth="1"/>
    <col min="5" max="5" width="15.5546875" bestFit="1" customWidth="1"/>
    <col min="6" max="6" width="15" customWidth="1"/>
    <col min="7" max="7" width="17.77734375" bestFit="1" customWidth="1"/>
    <col min="8" max="8" width="9" bestFit="1" customWidth="1"/>
    <col min="9" max="9" width="14.5546875" bestFit="1" customWidth="1"/>
    <col min="10" max="12" width="15" customWidth="1"/>
  </cols>
  <sheetData>
    <row r="1" spans="1:12" ht="45.6" customHeight="1" x14ac:dyDescent="0.3">
      <c r="A1" s="14" t="s">
        <v>0</v>
      </c>
      <c r="B1" s="14"/>
      <c r="C1" s="14"/>
      <c r="D1" s="14"/>
      <c r="E1" s="14"/>
      <c r="F1" s="14"/>
      <c r="G1" s="14"/>
      <c r="H1" s="14"/>
      <c r="I1" s="14"/>
      <c r="J1" s="14"/>
      <c r="K1" s="14"/>
      <c r="L1" s="14"/>
    </row>
    <row r="2" spans="1:12" x14ac:dyDescent="0.3">
      <c r="A2" s="13" t="s">
        <v>714</v>
      </c>
      <c r="B2" s="13"/>
      <c r="C2" s="13"/>
      <c r="D2" s="13"/>
      <c r="E2" s="13"/>
      <c r="F2" s="13"/>
      <c r="G2" s="13"/>
      <c r="H2" s="13"/>
      <c r="I2" s="13"/>
      <c r="J2" s="13"/>
      <c r="K2" s="13"/>
      <c r="L2" s="13"/>
    </row>
    <row r="4" spans="1:12" x14ac:dyDescent="0.3">
      <c r="A4" s="12" t="s">
        <v>1</v>
      </c>
      <c r="B4" s="12"/>
      <c r="C4" s="12"/>
      <c r="D4" s="12"/>
      <c r="E4" s="12"/>
      <c r="F4" s="12"/>
      <c r="G4" s="12"/>
      <c r="H4" s="12"/>
      <c r="I4" s="12"/>
      <c r="J4" s="12"/>
      <c r="K4" s="12"/>
      <c r="L4" s="12"/>
    </row>
    <row r="6" spans="1:12" x14ac:dyDescent="0.3">
      <c r="A6" s="11" t="s">
        <v>2</v>
      </c>
      <c r="B6" s="11"/>
      <c r="C6" s="11"/>
      <c r="D6" s="11" t="s">
        <v>3</v>
      </c>
      <c r="E6" s="11"/>
      <c r="F6" s="11"/>
      <c r="G6" s="11" t="s">
        <v>4</v>
      </c>
      <c r="H6" s="11"/>
      <c r="I6" s="11"/>
      <c r="J6" s="11" t="s">
        <v>5</v>
      </c>
      <c r="K6" s="11"/>
      <c r="L6" s="11"/>
    </row>
    <row r="7" spans="1:12" ht="19.2" x14ac:dyDescent="0.3">
      <c r="A7" s="10">
        <f>'Daily Flash Cost'!AG4</f>
        <v>224090</v>
      </c>
      <c r="B7" s="10"/>
      <c r="C7" s="10"/>
      <c r="D7" s="10">
        <f>'Daily Flash Cost'!AG5</f>
        <v>82140</v>
      </c>
      <c r="E7" s="10"/>
      <c r="F7" s="10"/>
      <c r="G7" s="9">
        <f>'Daily Flash Cost'!AG6</f>
        <v>306230</v>
      </c>
      <c r="H7" s="9"/>
      <c r="I7" s="9"/>
      <c r="J7" s="9">
        <f>'Daily Flash Cost'!AG9</f>
        <v>305330</v>
      </c>
      <c r="K7" s="9"/>
      <c r="L7" s="9"/>
    </row>
    <row r="9" spans="1:12" x14ac:dyDescent="0.3">
      <c r="A9" s="11" t="s">
        <v>6</v>
      </c>
      <c r="B9" s="11"/>
      <c r="C9" s="11"/>
      <c r="D9" s="11" t="s">
        <v>7</v>
      </c>
      <c r="E9" s="11"/>
      <c r="F9" s="11"/>
      <c r="G9" s="11" t="s">
        <v>8</v>
      </c>
      <c r="H9" s="11"/>
      <c r="I9" s="11"/>
      <c r="J9" s="11" t="s">
        <v>9</v>
      </c>
      <c r="K9" s="11"/>
      <c r="L9" s="11"/>
    </row>
    <row r="10" spans="1:12" ht="19.2" x14ac:dyDescent="0.3">
      <c r="A10" s="10">
        <f>'Daily Flash Cost'!AG15</f>
        <v>107557.60331825039</v>
      </c>
      <c r="B10" s="10"/>
      <c r="C10" s="10"/>
      <c r="D10" s="8">
        <f>'Daily Flash Cost'!AG20</f>
        <v>211104.09138009048</v>
      </c>
      <c r="E10" s="8"/>
      <c r="F10" s="8"/>
      <c r="G10" s="7">
        <f>'Daily Flash Cost'!AG23</f>
        <v>0.35123143819433233</v>
      </c>
      <c r="H10" s="7"/>
      <c r="I10" s="7"/>
      <c r="J10" s="6">
        <f>IFERROR('Daily Flash Cost'!AG20/'Daily Flash Cost'!AG9,0)</f>
        <v>0.69139649356463662</v>
      </c>
      <c r="K10" s="6"/>
      <c r="L10" s="6"/>
    </row>
    <row r="12" spans="1:12" x14ac:dyDescent="0.3">
      <c r="A12" s="11" t="s">
        <v>10</v>
      </c>
      <c r="B12" s="11"/>
      <c r="C12" s="11"/>
      <c r="D12" s="11" t="s">
        <v>11</v>
      </c>
      <c r="E12" s="11"/>
      <c r="F12" s="11"/>
      <c r="G12" s="11" t="s">
        <v>12</v>
      </c>
      <c r="H12" s="11"/>
      <c r="I12" s="11"/>
      <c r="J12" s="11" t="s">
        <v>13</v>
      </c>
      <c r="K12" s="11"/>
      <c r="L12" s="11"/>
    </row>
    <row r="13" spans="1:12" ht="19.2" x14ac:dyDescent="0.3">
      <c r="A13" s="5">
        <f>'Daily Flash Cost'!AG21</f>
        <v>0.33492513074666252</v>
      </c>
      <c r="B13" s="5"/>
      <c r="C13" s="5"/>
      <c r="D13" s="5">
        <f>'Daily Flash Cost'!AG22</f>
        <v>0.39571744301474032</v>
      </c>
      <c r="E13" s="5"/>
      <c r="F13" s="5"/>
      <c r="G13" s="10">
        <f>IFERROR('Daily Flash Cost'!AG9/COUNTIF('Daily Flash Cost'!B3:AF3,"&lt;&gt;"),0)</f>
        <v>9849.354838709678</v>
      </c>
      <c r="H13" s="10"/>
      <c r="I13" s="10"/>
      <c r="J13" s="4">
        <f>COUNT('Daily Flash Cost'!B4:AF4)</f>
        <v>31</v>
      </c>
      <c r="K13" s="4"/>
      <c r="L13" s="4"/>
    </row>
    <row r="16" spans="1:12" x14ac:dyDescent="0.3">
      <c r="A16" s="12" t="s">
        <v>14</v>
      </c>
      <c r="B16" s="12"/>
      <c r="C16" s="12"/>
      <c r="D16" s="12"/>
      <c r="E16" s="12"/>
      <c r="F16" s="12"/>
      <c r="G16" s="12"/>
      <c r="H16" s="12"/>
      <c r="I16" s="12"/>
      <c r="J16" s="12"/>
      <c r="K16" s="12"/>
      <c r="L16" s="12"/>
    </row>
    <row r="18" spans="1:12" x14ac:dyDescent="0.3">
      <c r="A18" s="11" t="s">
        <v>15</v>
      </c>
      <c r="B18" s="11"/>
      <c r="C18" s="11"/>
      <c r="D18" s="11" t="s">
        <v>16</v>
      </c>
      <c r="E18" s="11"/>
      <c r="F18" s="11"/>
      <c r="G18" s="11" t="s">
        <v>17</v>
      </c>
      <c r="H18" s="11"/>
      <c r="I18" s="11"/>
      <c r="J18" s="11" t="s">
        <v>18</v>
      </c>
      <c r="K18" s="11"/>
      <c r="L18" s="11"/>
    </row>
    <row r="19" spans="1:12" ht="19.2" x14ac:dyDescent="0.3">
      <c r="A19" s="3">
        <f>SUM(Wastage!$I:$I)</f>
        <v>219.5</v>
      </c>
      <c r="B19" s="3"/>
      <c r="C19" s="3"/>
      <c r="D19" s="10">
        <f>SUM('Daily Staff Meal'!$H:$H)</f>
        <v>1188</v>
      </c>
      <c r="E19" s="10"/>
      <c r="F19" s="10"/>
      <c r="G19" s="10">
        <f>SUM('Daily Void'!$J:$J)+SUM(Complementary!$J:$J)</f>
        <v>900</v>
      </c>
      <c r="H19" s="10"/>
      <c r="I19" s="10"/>
      <c r="J19" s="3">
        <f>SUM('Inventory Variance'!$I:$I)</f>
        <v>-14739.194698340878</v>
      </c>
      <c r="K19" s="3"/>
      <c r="L19" s="3"/>
    </row>
    <row r="21" spans="1:12" x14ac:dyDescent="0.3">
      <c r="A21" s="11" t="s">
        <v>19</v>
      </c>
      <c r="B21" s="11"/>
      <c r="C21" s="11"/>
      <c r="D21" s="11" t="s">
        <v>20</v>
      </c>
      <c r="E21" s="11"/>
      <c r="F21" s="11"/>
      <c r="G21" s="11" t="s">
        <v>21</v>
      </c>
      <c r="H21" s="11"/>
      <c r="I21" s="11"/>
      <c r="J21" s="11" t="s">
        <v>22</v>
      </c>
      <c r="K21" s="11"/>
      <c r="L21" s="11"/>
    </row>
    <row r="22" spans="1:12" ht="19.2" x14ac:dyDescent="0.3">
      <c r="A22" s="3">
        <f>SUM('Theoretical Consumption'!$M:$M)</f>
        <v>21671.132858220208</v>
      </c>
      <c r="B22" s="3"/>
      <c r="C22" s="3"/>
      <c r="D22" s="2">
        <f>COUNTIF('Inventory Variance'!$K:$K,"INVESTIGATE")</f>
        <v>33</v>
      </c>
      <c r="E22" s="2"/>
      <c r="F22" s="2"/>
      <c r="G22" s="4">
        <f>COUNTA(Wastage!$C$5:$C$64)</f>
        <v>4</v>
      </c>
      <c r="H22" s="4"/>
      <c r="I22" s="4"/>
      <c r="J22" s="4">
        <f>COUNTA('Daily Void'!$E$5:$E$44)</f>
        <v>2</v>
      </c>
      <c r="K22" s="4"/>
      <c r="L22" s="4"/>
    </row>
    <row r="25" spans="1:12" x14ac:dyDescent="0.3">
      <c r="A25" s="12" t="s">
        <v>23</v>
      </c>
      <c r="B25" s="12"/>
      <c r="C25" s="12"/>
      <c r="D25" s="12"/>
      <c r="E25" s="12"/>
      <c r="F25" s="12"/>
      <c r="G25" s="12"/>
      <c r="H25" s="12"/>
      <c r="I25" s="12"/>
      <c r="J25" s="12"/>
      <c r="K25" s="12"/>
      <c r="L25" s="12"/>
    </row>
    <row r="27" spans="1:12" x14ac:dyDescent="0.3">
      <c r="A27" s="11" t="s">
        <v>24</v>
      </c>
      <c r="B27" s="11"/>
      <c r="C27" s="11"/>
      <c r="D27" s="11" t="s">
        <v>25</v>
      </c>
      <c r="E27" s="11"/>
      <c r="F27" s="11"/>
      <c r="G27" s="11" t="s">
        <v>26</v>
      </c>
      <c r="H27" s="11"/>
      <c r="I27" s="11"/>
      <c r="J27" s="11" t="s">
        <v>27</v>
      </c>
      <c r="K27" s="11"/>
      <c r="L27" s="11"/>
    </row>
    <row r="28" spans="1:12" ht="19.2" x14ac:dyDescent="0.3">
      <c r="A28" s="10">
        <f>SUM('Store Inventory'!G4:G41)</f>
        <v>230960</v>
      </c>
      <c r="B28" s="10"/>
      <c r="C28" s="10"/>
      <c r="D28" s="2">
        <f>COUNTIF('Store Inventory'!J4:J41,"REORDER NOW")</f>
        <v>8</v>
      </c>
      <c r="E28" s="2"/>
      <c r="F28" s="2"/>
      <c r="G28" s="1">
        <f>COUNTIF('Store Inventory'!J4:J41,"OVERSTOCK")</f>
        <v>21</v>
      </c>
      <c r="H28" s="1"/>
      <c r="I28" s="1"/>
      <c r="J28" s="59">
        <f>COUNTIF('Store Inventory'!J4:J41,"OK")</f>
        <v>6</v>
      </c>
      <c r="K28" s="59"/>
      <c r="L28" s="59"/>
    </row>
    <row r="30" spans="1:12" x14ac:dyDescent="0.3">
      <c r="A30" s="60" t="s">
        <v>28</v>
      </c>
      <c r="B30" s="60"/>
      <c r="C30" s="60"/>
      <c r="D30" s="60"/>
      <c r="E30" s="60"/>
      <c r="F30" s="60"/>
    </row>
    <row r="31" spans="1:12" x14ac:dyDescent="0.3">
      <c r="A31" s="15" t="s">
        <v>29</v>
      </c>
      <c r="B31" s="15" t="s">
        <v>30</v>
      </c>
      <c r="C31" s="15" t="s">
        <v>31</v>
      </c>
      <c r="D31" s="15" t="s">
        <v>32</v>
      </c>
      <c r="E31" s="15" t="s">
        <v>33</v>
      </c>
    </row>
    <row r="32" spans="1:12" x14ac:dyDescent="0.3">
      <c r="A32" s="16" t="str">
        <f>IFERROR(INDEX('Store Inventory'!$B$4:$B$41,MATCH(1,'Store Inventory'!$L$4:$L$41,0)),"—")</f>
        <v>Black Tea Bags</v>
      </c>
      <c r="B32" s="16" t="str">
        <f>IFERROR(INDEX('Store Inventory'!$C$4:$C$41,MATCH(1,'Store Inventory'!$L$4:$L$41,0)),"")</f>
        <v>Coffee &amp; Tea</v>
      </c>
      <c r="C32" s="17">
        <f>IFERROR(INDEX('Store Inventory'!$E$4:$E$41,MATCH(1,'Store Inventory'!$L$4:$L$41,0)),"")</f>
        <v>0</v>
      </c>
      <c r="D32" s="17">
        <f>IFERROR(INDEX('Store Inventory'!$H$4:$H$41,MATCH(1,'Store Inventory'!$L$4:$L$41,0)),"")</f>
        <v>20</v>
      </c>
      <c r="E32" s="18" t="str">
        <f>IF(A32="—","","REORDER NOW")</f>
        <v>REORDER NOW</v>
      </c>
    </row>
    <row r="33" spans="1:12" x14ac:dyDescent="0.3">
      <c r="A33" s="16" t="str">
        <f>IFERROR(INDEX('Store Inventory'!$B$4:$B$41,MATCH(2,'Store Inventory'!$L$4:$L$41,0)),"—")</f>
        <v>Green Tea Bags</v>
      </c>
      <c r="B33" s="16" t="str">
        <f>IFERROR(INDEX('Store Inventory'!$C$4:$C$41,MATCH(2,'Store Inventory'!$L$4:$L$41,0)),"")</f>
        <v>Coffee &amp; Tea</v>
      </c>
      <c r="C33" s="17">
        <f>IFERROR(INDEX('Store Inventory'!$E$4:$E$41,MATCH(2,'Store Inventory'!$L$4:$L$41,0)),"")</f>
        <v>0</v>
      </c>
      <c r="D33" s="17">
        <f>IFERROR(INDEX('Store Inventory'!$H$4:$H$41,MATCH(2,'Store Inventory'!$L$4:$L$41,0)),"")</f>
        <v>20</v>
      </c>
      <c r="E33" s="18" t="str">
        <f>IF(A33="—","","REORDER NOW")</f>
        <v>REORDER NOW</v>
      </c>
    </row>
    <row r="34" spans="1:12" x14ac:dyDescent="0.3">
      <c r="A34" s="16" t="str">
        <f>IFERROR(INDEX('Store Inventory'!$B$4:$B$41,MATCH(3,'Store Inventory'!$L$4:$L$41,0)),"—")</f>
        <v>Cocoa Powder</v>
      </c>
      <c r="B34" s="16" t="str">
        <f>IFERROR(INDEX('Store Inventory'!$C$4:$C$41,MATCH(3,'Store Inventory'!$L$4:$L$41,0)),"")</f>
        <v>Coffee &amp; Tea</v>
      </c>
      <c r="C34" s="17">
        <f>IFERROR(INDEX('Store Inventory'!$E$4:$E$41,MATCH(3,'Store Inventory'!$L$4:$L$41,0)),"")</f>
        <v>0</v>
      </c>
      <c r="D34" s="17">
        <f>IFERROR(INDEX('Store Inventory'!$H$4:$H$41,MATCH(3,'Store Inventory'!$L$4:$L$41,0)),"")</f>
        <v>10</v>
      </c>
      <c r="E34" s="18" t="str">
        <f>IF(A34="—","","REORDER NOW")</f>
        <v>REORDER NOW</v>
      </c>
    </row>
    <row r="35" spans="1:12" x14ac:dyDescent="0.3">
      <c r="A35" s="16" t="str">
        <f>IFERROR(INDEX('Store Inventory'!$B$4:$B$41,MATCH(4,'Store Inventory'!$L$4:$L$41,0)),"—")</f>
        <v>Fresh Mint Leaves</v>
      </c>
      <c r="B35" s="16" t="str">
        <f>IFERROR(INDEX('Store Inventory'!$C$4:$C$41,MATCH(4,'Store Inventory'!$L$4:$L$41,0)),"")</f>
        <v>Bar Garnish</v>
      </c>
      <c r="C35" s="17">
        <f>IFERROR(INDEX('Store Inventory'!$E$4:$E$41,MATCH(4,'Store Inventory'!$L$4:$L$41,0)),"")</f>
        <v>0</v>
      </c>
      <c r="D35" s="17">
        <f>IFERROR(INDEX('Store Inventory'!$H$4:$H$41,MATCH(4,'Store Inventory'!$L$4:$L$41,0)),"")</f>
        <v>10</v>
      </c>
      <c r="E35" s="18" t="str">
        <f>IF(A35="—","","REORDER NOW")</f>
        <v>REORDER NOW</v>
      </c>
    </row>
    <row r="36" spans="1:12" x14ac:dyDescent="0.3">
      <c r="A36" s="16" t="str">
        <f>IFERROR(INDEX('Store Inventory'!$B$4:$B$41,MATCH(5,'Store Inventory'!$L$4:$L$41,0)),"—")</f>
        <v>Paper Napkins</v>
      </c>
      <c r="B36" s="16" t="str">
        <f>IFERROR(INDEX('Store Inventory'!$C$4:$C$41,MATCH(5,'Store Inventory'!$L$4:$L$41,0)),"")</f>
        <v>Consumables</v>
      </c>
      <c r="C36" s="17">
        <f>IFERROR(INDEX('Store Inventory'!$E$4:$E$41,MATCH(5,'Store Inventory'!$L$4:$L$41,0)),"")</f>
        <v>0</v>
      </c>
      <c r="D36" s="17">
        <f>IFERROR(INDEX('Store Inventory'!$H$4:$H$41,MATCH(5,'Store Inventory'!$L$4:$L$41,0)),"")</f>
        <v>100</v>
      </c>
      <c r="E36" s="18" t="str">
        <f>IF(A36="—","","REORDER NOW")</f>
        <v>REORDER NOW</v>
      </c>
    </row>
    <row r="38" spans="1:12" x14ac:dyDescent="0.3">
      <c r="A38" s="12" t="s">
        <v>34</v>
      </c>
      <c r="B38" s="12"/>
      <c r="C38" s="12"/>
      <c r="D38" s="12"/>
      <c r="E38" s="12"/>
      <c r="F38" s="12"/>
      <c r="G38" s="12"/>
      <c r="H38" s="12"/>
      <c r="I38" s="12"/>
      <c r="J38" s="12"/>
      <c r="K38" s="12"/>
      <c r="L38" s="12"/>
    </row>
    <row r="40" spans="1:12" x14ac:dyDescent="0.3">
      <c r="A40" s="11" t="s">
        <v>35</v>
      </c>
      <c r="B40" s="11"/>
      <c r="C40" s="11"/>
      <c r="D40" s="11" t="s">
        <v>36</v>
      </c>
      <c r="E40" s="11"/>
      <c r="F40" s="11"/>
      <c r="G40" s="11" t="s">
        <v>37</v>
      </c>
      <c r="H40" s="11"/>
      <c r="I40" s="11"/>
      <c r="J40" s="11" t="s">
        <v>38</v>
      </c>
      <c r="K40" s="11"/>
      <c r="L40" s="11"/>
    </row>
    <row r="41" spans="1:12" ht="19.2" x14ac:dyDescent="0.3">
      <c r="A41" s="4">
        <v>26</v>
      </c>
      <c r="B41" s="4"/>
      <c r="C41" s="4"/>
      <c r="D41" s="59">
        <f>COUNTIF('Menu Engineering'!$J$4:$J$29,"STAR")</f>
        <v>3</v>
      </c>
      <c r="E41" s="59"/>
      <c r="F41" s="59"/>
      <c r="G41" s="1">
        <f>COUNTIF('Menu Engineering'!$J$4:$J$29,"PLOWHORSE")</f>
        <v>6</v>
      </c>
      <c r="H41" s="1"/>
      <c r="I41" s="1"/>
      <c r="J41" s="2">
        <f>COUNTIF('Menu Engineering'!$J$4:$J$29,"PUZZLE")+COUNTIF('Menu Engineering'!$J$4:$J$29,"DOG")</f>
        <v>17</v>
      </c>
      <c r="K41" s="2"/>
      <c r="L41" s="2"/>
    </row>
    <row r="43" spans="1:12" x14ac:dyDescent="0.3">
      <c r="A43" s="60" t="s">
        <v>39</v>
      </c>
      <c r="B43" s="60"/>
      <c r="C43" s="60"/>
      <c r="D43" s="60"/>
      <c r="E43" s="60"/>
      <c r="G43" s="60" t="s">
        <v>40</v>
      </c>
      <c r="H43" s="60"/>
      <c r="I43" s="60"/>
      <c r="J43" s="60"/>
      <c r="K43" s="60"/>
    </row>
    <row r="44" spans="1:12" x14ac:dyDescent="0.3">
      <c r="A44" s="15" t="s">
        <v>41</v>
      </c>
      <c r="B44" s="15" t="s">
        <v>30</v>
      </c>
      <c r="C44" s="15" t="s">
        <v>42</v>
      </c>
      <c r="G44" s="15" t="s">
        <v>41</v>
      </c>
      <c r="H44" s="15" t="s">
        <v>30</v>
      </c>
      <c r="I44" s="15" t="s">
        <v>43</v>
      </c>
    </row>
    <row r="45" spans="1:12" x14ac:dyDescent="0.3">
      <c r="A45" s="16" t="str">
        <f>IFERROR(INDEX('Menu Engineering'!$B$4:$B$29,MATCH(1,'Menu Engineering'!$M$4:$M$29,0)),"—")</f>
        <v>Cappuccino</v>
      </c>
      <c r="B45" s="16" t="str">
        <f>IFERROR(INDEX('Menu Engineering'!$C$4:$C$29,MATCH(1,'Menu Engineering'!$M$4:$M$29,0)),"")</f>
        <v>Beverage</v>
      </c>
      <c r="C45" s="17">
        <f>IFERROR(INDEX('Menu Engineering'!$D$4:$D$29,MATCH(1,'Menu Engineering'!$M$4:$M$29,0)),"")</f>
        <v>157</v>
      </c>
      <c r="G45" s="16" t="str">
        <f>IFERROR(INDEX('Menu Engineering'!$B$4:$B$29,MATCH(1,'Menu Engineering'!$N$4:$N$29,0)),"—")</f>
        <v>Margherita Pizza</v>
      </c>
      <c r="H45" s="16" t="str">
        <f>IFERROR(INDEX('Menu Engineering'!$C$4:$C$29,MATCH(1,'Menu Engineering'!$N$4:$N$29,0)),"")</f>
        <v>Food</v>
      </c>
      <c r="I45" s="19">
        <f>IFERROR(INDEX('Menu Engineering'!$L$4:$L$29,MATCH(1,'Menu Engineering'!$N$4:$N$29,0)),"")</f>
        <v>31160</v>
      </c>
    </row>
    <row r="46" spans="1:12" x14ac:dyDescent="0.3">
      <c r="A46" s="16" t="str">
        <f>IFERROR(INDEX('Menu Engineering'!$B$4:$B$29,MATCH(2,'Menu Engineering'!$M$4:$M$29,0)),"—")</f>
        <v>Americano</v>
      </c>
      <c r="B46" s="16" t="str">
        <f>IFERROR(INDEX('Menu Engineering'!$C$4:$C$29,MATCH(2,'Menu Engineering'!$M$4:$M$29,0)),"")</f>
        <v>Beverage</v>
      </c>
      <c r="C46" s="17">
        <f>IFERROR(INDEX('Menu Engineering'!$D$4:$D$29,MATCH(2,'Menu Engineering'!$M$4:$M$29,0)),"")</f>
        <v>137</v>
      </c>
      <c r="G46" s="16" t="str">
        <f>IFERROR(INDEX('Menu Engineering'!$B$4:$B$29,MATCH(2,'Menu Engineering'!$N$4:$N$29,0)),"—")</f>
        <v>Classic Beef Burger</v>
      </c>
      <c r="H46" s="16" t="str">
        <f>IFERROR(INDEX('Menu Engineering'!$C$4:$C$29,MATCH(2,'Menu Engineering'!$N$4:$N$29,0)),"")</f>
        <v>Food</v>
      </c>
      <c r="I46" s="19">
        <f>IFERROR(INDEX('Menu Engineering'!$L$4:$L$29,MATCH(2,'Menu Engineering'!$N$4:$N$29,0)),"")</f>
        <v>29120</v>
      </c>
    </row>
    <row r="47" spans="1:12" x14ac:dyDescent="0.3">
      <c r="A47" s="16" t="str">
        <f>IFERROR(INDEX('Menu Engineering'!$B$4:$B$29,MATCH(3,'Menu Engineering'!$M$4:$M$29,0)),"—")</f>
        <v>Coca-Cola</v>
      </c>
      <c r="B47" s="16" t="str">
        <f>IFERROR(INDEX('Menu Engineering'!$C$4:$C$29,MATCH(3,'Menu Engineering'!$M$4:$M$29,0)),"")</f>
        <v>Beverage</v>
      </c>
      <c r="C47" s="17">
        <f>IFERROR(INDEX('Menu Engineering'!$D$4:$D$29,MATCH(3,'Menu Engineering'!$M$4:$M$29,0)),"")</f>
        <v>103</v>
      </c>
      <c r="G47" s="16" t="str">
        <f>IFERROR(INDEX('Menu Engineering'!$B$4:$B$29,MATCH(3,'Menu Engineering'!$N$4:$N$29,0)),"—")</f>
        <v>Spaghetti Bolognese</v>
      </c>
      <c r="H47" s="16" t="str">
        <f>IFERROR(INDEX('Menu Engineering'!$C$4:$C$29,MATCH(3,'Menu Engineering'!$N$4:$N$29,0)),"")</f>
        <v>Food</v>
      </c>
      <c r="I47" s="19">
        <f>IFERROR(INDEX('Menu Engineering'!$L$4:$L$29,MATCH(3,'Menu Engineering'!$N$4:$N$29,0)),"")</f>
        <v>23100</v>
      </c>
    </row>
    <row r="48" spans="1:12" x14ac:dyDescent="0.3">
      <c r="A48" s="16" t="str">
        <f>IFERROR(INDEX('Menu Engineering'!$B$4:$B$29,MATCH(4,'Menu Engineering'!$M$4:$M$29,0)),"—")</f>
        <v>Classic Beef Burger</v>
      </c>
      <c r="B48" s="16" t="str">
        <f>IFERROR(INDEX('Menu Engineering'!$C$4:$C$29,MATCH(4,'Menu Engineering'!$M$4:$M$29,0)),"")</f>
        <v>Food</v>
      </c>
      <c r="C48" s="17">
        <f>IFERROR(INDEX('Menu Engineering'!$D$4:$D$29,MATCH(4,'Menu Engineering'!$M$4:$M$29,0)),"")</f>
        <v>91</v>
      </c>
      <c r="G48" s="16" t="str">
        <f>IFERROR(INDEX('Menu Engineering'!$B$4:$B$29,MATCH(4,'Menu Engineering'!$N$4:$N$29,0)),"—")</f>
        <v>Cappuccino</v>
      </c>
      <c r="H48" s="16" t="str">
        <f>IFERROR(INDEX('Menu Engineering'!$C$4:$C$29,MATCH(4,'Menu Engineering'!$N$4:$N$29,0)),"")</f>
        <v>Beverage</v>
      </c>
      <c r="I48" s="19">
        <f>IFERROR(INDEX('Menu Engineering'!$L$4:$L$29,MATCH(4,'Menu Engineering'!$N$4:$N$29,0)),"")</f>
        <v>17270</v>
      </c>
    </row>
    <row r="49" spans="1:12" x14ac:dyDescent="0.3">
      <c r="A49" s="16" t="str">
        <f>IFERROR(INDEX('Menu Engineering'!$B$4:$B$29,MATCH(5,'Menu Engineering'!$M$4:$M$29,0)),"—")</f>
        <v>Butter Croissant</v>
      </c>
      <c r="B49" s="16" t="str">
        <f>IFERROR(INDEX('Menu Engineering'!$C$4:$C$29,MATCH(5,'Menu Engineering'!$M$4:$M$29,0)),"")</f>
        <v>Food</v>
      </c>
      <c r="C49" s="17">
        <f>IFERROR(INDEX('Menu Engineering'!$D$4:$D$29,MATCH(5,'Menu Engineering'!$M$4:$M$29,0)),"")</f>
        <v>85</v>
      </c>
      <c r="G49" s="16" t="str">
        <f>IFERROR(INDEX('Menu Engineering'!$B$4:$B$29,MATCH(5,'Menu Engineering'!$N$4:$N$29,0)),"—")</f>
        <v>Double Beef Burger</v>
      </c>
      <c r="H49" s="16" t="str">
        <f>IFERROR(INDEX('Menu Engineering'!$C$4:$C$29,MATCH(5,'Menu Engineering'!$N$4:$N$29,0)),"")</f>
        <v>Food</v>
      </c>
      <c r="I49" s="19">
        <f>IFERROR(INDEX('Menu Engineering'!$L$4:$L$29,MATCH(5,'Menu Engineering'!$N$4:$N$29,0)),"")</f>
        <v>17220</v>
      </c>
    </row>
    <row r="51" spans="1:12" x14ac:dyDescent="0.3">
      <c r="A51" s="12" t="s">
        <v>44</v>
      </c>
      <c r="B51" s="12"/>
      <c r="C51" s="12"/>
      <c r="D51" s="12"/>
      <c r="E51" s="12"/>
      <c r="F51" s="12"/>
      <c r="G51" s="12"/>
      <c r="H51" s="12"/>
      <c r="I51" s="12"/>
      <c r="J51" s="12"/>
      <c r="K51" s="12"/>
      <c r="L51" s="12"/>
    </row>
    <row r="53" spans="1:12" x14ac:dyDescent="0.3">
      <c r="A53" s="61" t="s">
        <v>45</v>
      </c>
      <c r="B53" s="61"/>
      <c r="C53" s="61"/>
      <c r="D53" s="61"/>
      <c r="E53" s="61"/>
      <c r="F53" s="61"/>
      <c r="G53" s="61"/>
      <c r="H53" s="61"/>
      <c r="I53" s="61"/>
      <c r="J53" s="61"/>
      <c r="K53" s="61"/>
      <c r="L53" s="61"/>
    </row>
    <row r="54" spans="1:12" x14ac:dyDescent="0.3">
      <c r="A54" s="61"/>
      <c r="B54" s="61"/>
      <c r="C54" s="61"/>
      <c r="D54" s="61"/>
      <c r="E54" s="61"/>
      <c r="F54" s="61"/>
      <c r="G54" s="61"/>
      <c r="H54" s="61"/>
      <c r="I54" s="61"/>
      <c r="J54" s="61"/>
      <c r="K54" s="61"/>
      <c r="L54" s="61"/>
    </row>
  </sheetData>
  <mergeCells count="67">
    <mergeCell ref="A51:L51"/>
    <mergeCell ref="A53:L54"/>
    <mergeCell ref="A41:C41"/>
    <mergeCell ref="D41:F41"/>
    <mergeCell ref="G41:I41"/>
    <mergeCell ref="J41:L41"/>
    <mergeCell ref="A43:E43"/>
    <mergeCell ref="G43:K43"/>
    <mergeCell ref="A38:L38"/>
    <mergeCell ref="A40:C40"/>
    <mergeCell ref="D40:F40"/>
    <mergeCell ref="G40:I40"/>
    <mergeCell ref="J40:L40"/>
    <mergeCell ref="A28:C28"/>
    <mergeCell ref="D28:F28"/>
    <mergeCell ref="G28:I28"/>
    <mergeCell ref="J28:L28"/>
    <mergeCell ref="A30:F30"/>
    <mergeCell ref="A25:L25"/>
    <mergeCell ref="A27:C27"/>
    <mergeCell ref="D27:F27"/>
    <mergeCell ref="G27:I27"/>
    <mergeCell ref="J27:L27"/>
    <mergeCell ref="A21:C21"/>
    <mergeCell ref="D21:F21"/>
    <mergeCell ref="G21:I21"/>
    <mergeCell ref="J21:L21"/>
    <mergeCell ref="A22:C22"/>
    <mergeCell ref="D22:F22"/>
    <mergeCell ref="G22:I22"/>
    <mergeCell ref="J22:L22"/>
    <mergeCell ref="A18:C18"/>
    <mergeCell ref="D18:F18"/>
    <mergeCell ref="G18:I18"/>
    <mergeCell ref="J18:L18"/>
    <mergeCell ref="A19:C19"/>
    <mergeCell ref="D19:F19"/>
    <mergeCell ref="G19:I19"/>
    <mergeCell ref="J19:L19"/>
    <mergeCell ref="A13:C13"/>
    <mergeCell ref="D13:F13"/>
    <mergeCell ref="G13:I13"/>
    <mergeCell ref="J13:L13"/>
    <mergeCell ref="A16:L16"/>
    <mergeCell ref="A10:C10"/>
    <mergeCell ref="D10:F10"/>
    <mergeCell ref="G10:I10"/>
    <mergeCell ref="J10:L10"/>
    <mergeCell ref="A12:C12"/>
    <mergeCell ref="D12:F12"/>
    <mergeCell ref="G12:I12"/>
    <mergeCell ref="J12:L12"/>
    <mergeCell ref="A7:C7"/>
    <mergeCell ref="D7:F7"/>
    <mergeCell ref="G7:I7"/>
    <mergeCell ref="J7:L7"/>
    <mergeCell ref="A9:C9"/>
    <mergeCell ref="D9:F9"/>
    <mergeCell ref="G9:I9"/>
    <mergeCell ref="J9:L9"/>
    <mergeCell ref="A1:L1"/>
    <mergeCell ref="A2:L2"/>
    <mergeCell ref="A4:L4"/>
    <mergeCell ref="A6:C6"/>
    <mergeCell ref="D6:F6"/>
    <mergeCell ref="G6:I6"/>
    <mergeCell ref="J6:L6"/>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C8C8C"/>
  </sheetPr>
  <dimension ref="A1:F38"/>
  <sheetViews>
    <sheetView showGridLines="0" zoomScaleNormal="100" workbookViewId="0">
      <selection sqref="A1:F1"/>
    </sheetView>
  </sheetViews>
  <sheetFormatPr defaultColWidth="8.6640625" defaultRowHeight="14.4" x14ac:dyDescent="0.3"/>
  <cols>
    <col min="1" max="1" width="3" customWidth="1"/>
    <col min="2" max="2" width="100" customWidth="1"/>
    <col min="6" max="6" width="14.6640625" customWidth="1"/>
  </cols>
  <sheetData>
    <row r="1" spans="1:6" ht="43.8" customHeight="1" x14ac:dyDescent="0.3">
      <c r="A1" s="14" t="s">
        <v>46</v>
      </c>
      <c r="B1" s="14"/>
      <c r="C1" s="14"/>
      <c r="D1" s="14"/>
      <c r="E1" s="14"/>
      <c r="F1" s="14"/>
    </row>
    <row r="2" spans="1:6" x14ac:dyDescent="0.3">
      <c r="A2" s="68" t="s">
        <v>715</v>
      </c>
      <c r="B2" s="13"/>
      <c r="C2" s="13"/>
      <c r="D2" s="13"/>
      <c r="E2" s="13"/>
      <c r="F2" s="13"/>
    </row>
    <row r="4" spans="1:6" ht="19.5" customHeight="1" x14ac:dyDescent="0.3">
      <c r="B4" s="12" t="s">
        <v>47</v>
      </c>
      <c r="C4" s="12"/>
      <c r="D4" s="12"/>
      <c r="E4" s="12"/>
      <c r="F4" s="12"/>
    </row>
    <row r="5" spans="1:6" ht="29.4" customHeight="1" x14ac:dyDescent="0.3">
      <c r="B5" s="62" t="s">
        <v>48</v>
      </c>
      <c r="C5" s="62"/>
      <c r="D5" s="62"/>
      <c r="E5" s="62"/>
      <c r="F5" s="62"/>
    </row>
    <row r="6" spans="1:6" ht="7.2" customHeight="1" x14ac:dyDescent="0.3"/>
    <row r="7" spans="1:6" ht="19.5" customHeight="1" x14ac:dyDescent="0.3">
      <c r="B7" s="12" t="s">
        <v>49</v>
      </c>
      <c r="C7" s="12"/>
      <c r="D7" s="12"/>
      <c r="E7" s="12"/>
      <c r="F7" s="12"/>
    </row>
    <row r="8" spans="1:6" ht="26.4" customHeight="1" x14ac:dyDescent="0.3">
      <c r="B8" s="69" t="s">
        <v>716</v>
      </c>
      <c r="C8" s="62"/>
      <c r="D8" s="62"/>
      <c r="E8" s="62"/>
      <c r="F8" s="62"/>
    </row>
    <row r="9" spans="1:6" ht="7.8" customHeight="1" x14ac:dyDescent="0.3"/>
    <row r="10" spans="1:6" ht="19.5" customHeight="1" x14ac:dyDescent="0.3">
      <c r="B10" s="12" t="s">
        <v>50</v>
      </c>
      <c r="C10" s="12"/>
      <c r="D10" s="12"/>
      <c r="E10" s="12"/>
      <c r="F10" s="12"/>
    </row>
    <row r="11" spans="1:6" ht="43.2" customHeight="1" x14ac:dyDescent="0.3">
      <c r="B11" s="74" t="s">
        <v>51</v>
      </c>
      <c r="C11" s="72" t="s">
        <v>52</v>
      </c>
      <c r="D11" s="72"/>
      <c r="E11" s="72"/>
      <c r="F11" s="72"/>
    </row>
    <row r="12" spans="1:6" ht="40.200000000000003" customHeight="1" x14ac:dyDescent="0.3">
      <c r="B12" s="75" t="s">
        <v>53</v>
      </c>
      <c r="C12" s="73" t="s">
        <v>54</v>
      </c>
      <c r="D12" s="73"/>
      <c r="E12" s="73"/>
      <c r="F12" s="73"/>
    </row>
    <row r="13" spans="1:6" ht="35.1" customHeight="1" x14ac:dyDescent="0.3">
      <c r="B13" s="74" t="s">
        <v>55</v>
      </c>
      <c r="C13" s="72" t="s">
        <v>56</v>
      </c>
      <c r="D13" s="72"/>
      <c r="E13" s="72"/>
      <c r="F13" s="72"/>
    </row>
    <row r="14" spans="1:6" ht="40.200000000000003" customHeight="1" x14ac:dyDescent="0.3">
      <c r="B14" s="75" t="s">
        <v>57</v>
      </c>
      <c r="C14" s="73" t="s">
        <v>58</v>
      </c>
      <c r="D14" s="73"/>
      <c r="E14" s="73"/>
      <c r="F14" s="73"/>
    </row>
    <row r="15" spans="1:6" ht="29.4" customHeight="1" x14ac:dyDescent="0.3">
      <c r="B15" s="74" t="s">
        <v>59</v>
      </c>
      <c r="C15" s="72" t="s">
        <v>60</v>
      </c>
      <c r="D15" s="72"/>
      <c r="E15" s="72"/>
      <c r="F15" s="72"/>
    </row>
    <row r="16" spans="1:6" ht="35.1" customHeight="1" x14ac:dyDescent="0.3">
      <c r="B16" s="75" t="s">
        <v>61</v>
      </c>
      <c r="C16" s="73" t="s">
        <v>62</v>
      </c>
      <c r="D16" s="73"/>
      <c r="E16" s="73"/>
      <c r="F16" s="73"/>
    </row>
    <row r="17" spans="2:6" ht="35.1" customHeight="1" x14ac:dyDescent="0.3">
      <c r="B17" s="74" t="s">
        <v>63</v>
      </c>
      <c r="C17" s="72" t="s">
        <v>64</v>
      </c>
      <c r="D17" s="72"/>
      <c r="E17" s="72"/>
      <c r="F17" s="72"/>
    </row>
    <row r="18" spans="2:6" ht="27.6" customHeight="1" x14ac:dyDescent="0.3">
      <c r="B18" s="75" t="s">
        <v>65</v>
      </c>
      <c r="C18" s="73" t="s">
        <v>66</v>
      </c>
      <c r="D18" s="73"/>
      <c r="E18" s="73"/>
      <c r="F18" s="73"/>
    </row>
    <row r="19" spans="2:6" ht="28.2" customHeight="1" x14ac:dyDescent="0.3">
      <c r="B19" s="74" t="s">
        <v>67</v>
      </c>
      <c r="C19" s="72" t="s">
        <v>68</v>
      </c>
      <c r="D19" s="72"/>
      <c r="E19" s="72"/>
      <c r="F19" s="72"/>
    </row>
    <row r="20" spans="2:6" ht="28.8" customHeight="1" x14ac:dyDescent="0.3">
      <c r="B20" s="75" t="s">
        <v>69</v>
      </c>
      <c r="C20" s="73" t="s">
        <v>70</v>
      </c>
      <c r="D20" s="73"/>
      <c r="E20" s="73"/>
      <c r="F20" s="73"/>
    </row>
    <row r="21" spans="2:6" ht="30" customHeight="1" x14ac:dyDescent="0.3">
      <c r="B21" s="74" t="s">
        <v>71</v>
      </c>
      <c r="C21" s="72" t="s">
        <v>72</v>
      </c>
      <c r="D21" s="72"/>
      <c r="E21" s="72"/>
      <c r="F21" s="72"/>
    </row>
    <row r="22" spans="2:6" ht="29.4" customHeight="1" x14ac:dyDescent="0.3">
      <c r="B22" s="75" t="s">
        <v>73</v>
      </c>
      <c r="C22" s="73" t="s">
        <v>74</v>
      </c>
      <c r="D22" s="73"/>
      <c r="E22" s="73"/>
      <c r="F22" s="73"/>
    </row>
    <row r="23" spans="2:6" ht="46.2" customHeight="1" x14ac:dyDescent="0.3">
      <c r="B23" s="71" t="s">
        <v>75</v>
      </c>
      <c r="C23" s="72" t="s">
        <v>76</v>
      </c>
      <c r="D23" s="72"/>
      <c r="E23" s="72"/>
      <c r="F23" s="72"/>
    </row>
    <row r="24" spans="2:6" ht="35.1" customHeight="1" x14ac:dyDescent="0.3">
      <c r="B24" s="70" t="s">
        <v>77</v>
      </c>
      <c r="C24" s="73" t="s">
        <v>78</v>
      </c>
      <c r="D24" s="73"/>
      <c r="E24" s="73"/>
      <c r="F24" s="73"/>
    </row>
    <row r="25" spans="2:6" ht="35.1" customHeight="1" x14ac:dyDescent="0.3">
      <c r="B25" s="71" t="s">
        <v>79</v>
      </c>
      <c r="C25" s="72" t="s">
        <v>80</v>
      </c>
      <c r="D25" s="72"/>
      <c r="E25" s="72"/>
      <c r="F25" s="72"/>
    </row>
    <row r="26" spans="2:6" ht="28.2" customHeight="1" x14ac:dyDescent="0.3">
      <c r="B26" s="70" t="s">
        <v>81</v>
      </c>
      <c r="C26" s="73" t="s">
        <v>82</v>
      </c>
      <c r="D26" s="73"/>
      <c r="E26" s="73"/>
      <c r="F26" s="73"/>
    </row>
    <row r="28" spans="2:6" ht="19.5" customHeight="1" x14ac:dyDescent="0.3">
      <c r="B28" s="12" t="s">
        <v>83</v>
      </c>
      <c r="C28" s="12"/>
      <c r="D28" s="12"/>
      <c r="E28" s="12"/>
      <c r="F28" s="12"/>
    </row>
    <row r="29" spans="2:6" ht="68.400000000000006" customHeight="1" x14ac:dyDescent="0.3">
      <c r="B29" s="62" t="s">
        <v>84</v>
      </c>
      <c r="C29" s="62"/>
      <c r="D29" s="62"/>
      <c r="E29" s="62"/>
      <c r="F29" s="62"/>
    </row>
    <row r="30" spans="2:6" ht="7.2" customHeight="1" x14ac:dyDescent="0.3"/>
    <row r="31" spans="2:6" ht="19.5" customHeight="1" x14ac:dyDescent="0.3">
      <c r="B31" s="12" t="s">
        <v>85</v>
      </c>
      <c r="C31" s="12"/>
      <c r="D31" s="12"/>
      <c r="E31" s="12"/>
      <c r="F31" s="12"/>
    </row>
    <row r="32" spans="2:6" ht="32.4" customHeight="1" x14ac:dyDescent="0.3">
      <c r="B32" s="62" t="s">
        <v>86</v>
      </c>
      <c r="C32" s="62"/>
      <c r="D32" s="62"/>
      <c r="E32" s="62"/>
      <c r="F32" s="62"/>
    </row>
    <row r="33" spans="2:6" ht="7.8" customHeight="1" x14ac:dyDescent="0.3"/>
    <row r="34" spans="2:6" ht="19.5" customHeight="1" x14ac:dyDescent="0.3">
      <c r="B34" s="12" t="s">
        <v>87</v>
      </c>
      <c r="C34" s="12"/>
      <c r="D34" s="12"/>
      <c r="E34" s="12"/>
      <c r="F34" s="12"/>
    </row>
    <row r="35" spans="2:6" ht="31.2" customHeight="1" x14ac:dyDescent="0.3">
      <c r="B35" s="62" t="s">
        <v>88</v>
      </c>
      <c r="C35" s="62"/>
      <c r="D35" s="62"/>
      <c r="E35" s="62"/>
      <c r="F35" s="62"/>
    </row>
    <row r="36" spans="2:6" ht="7.2" customHeight="1" x14ac:dyDescent="0.3"/>
    <row r="37" spans="2:6" ht="19.5" customHeight="1" x14ac:dyDescent="0.3">
      <c r="B37" s="12" t="s">
        <v>89</v>
      </c>
      <c r="C37" s="12"/>
      <c r="D37" s="12"/>
      <c r="E37" s="12"/>
      <c r="F37" s="12"/>
    </row>
    <row r="38" spans="2:6" ht="46.2" customHeight="1" x14ac:dyDescent="0.3">
      <c r="B38" s="62" t="s">
        <v>90</v>
      </c>
      <c r="C38" s="62"/>
      <c r="D38" s="62"/>
      <c r="E38" s="62"/>
      <c r="F38" s="62"/>
    </row>
  </sheetData>
  <mergeCells count="31">
    <mergeCell ref="B38:F38"/>
    <mergeCell ref="B31:F31"/>
    <mergeCell ref="B32:F32"/>
    <mergeCell ref="B34:F34"/>
    <mergeCell ref="B35:F35"/>
    <mergeCell ref="B37:F37"/>
    <mergeCell ref="C24:F24"/>
    <mergeCell ref="C25:F25"/>
    <mergeCell ref="C26:F26"/>
    <mergeCell ref="B28:F28"/>
    <mergeCell ref="B29:F29"/>
    <mergeCell ref="C19:F19"/>
    <mergeCell ref="C20:F20"/>
    <mergeCell ref="C21:F21"/>
    <mergeCell ref="C22:F22"/>
    <mergeCell ref="C23:F23"/>
    <mergeCell ref="C14:F14"/>
    <mergeCell ref="C15:F15"/>
    <mergeCell ref="C16:F16"/>
    <mergeCell ref="C17:F17"/>
    <mergeCell ref="C18:F18"/>
    <mergeCell ref="B8:F8"/>
    <mergeCell ref="B10:F10"/>
    <mergeCell ref="C11:F11"/>
    <mergeCell ref="C12:F12"/>
    <mergeCell ref="C13:F13"/>
    <mergeCell ref="A1:F1"/>
    <mergeCell ref="A2:F2"/>
    <mergeCell ref="B4:F4"/>
    <mergeCell ref="B5:F5"/>
    <mergeCell ref="B7:F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E7C7B"/>
  </sheetPr>
  <dimension ref="A1:E41"/>
  <sheetViews>
    <sheetView showGridLines="0" zoomScaleNormal="100" workbookViewId="0">
      <pane ySplit="3" topLeftCell="A4" activePane="bottomLeft" state="frozen"/>
      <selection pane="bottomLeft" activeCell="H17" sqref="H17"/>
    </sheetView>
  </sheetViews>
  <sheetFormatPr defaultColWidth="8.6640625" defaultRowHeight="14.4" x14ac:dyDescent="0.3"/>
  <cols>
    <col min="1" max="1" width="12" customWidth="1"/>
    <col min="2" max="2" width="30" customWidth="1"/>
    <col min="3" max="3" width="20" customWidth="1"/>
    <col min="4" max="4" width="10" customWidth="1"/>
    <col min="5" max="5" width="18" customWidth="1"/>
  </cols>
  <sheetData>
    <row r="1" spans="1:5" ht="33.6" customHeight="1" x14ac:dyDescent="0.3">
      <c r="A1" s="14" t="s">
        <v>91</v>
      </c>
      <c r="B1" s="14"/>
      <c r="C1" s="14"/>
      <c r="D1" s="14"/>
      <c r="E1" s="14"/>
    </row>
    <row r="2" spans="1:5" x14ac:dyDescent="0.3">
      <c r="A2" s="13" t="s">
        <v>92</v>
      </c>
      <c r="B2" s="13"/>
      <c r="C2" s="13"/>
      <c r="D2" s="13"/>
      <c r="E2" s="13"/>
    </row>
    <row r="3" spans="1:5" ht="30" customHeight="1" x14ac:dyDescent="0.3">
      <c r="A3" s="15" t="s">
        <v>93</v>
      </c>
      <c r="B3" s="15" t="s">
        <v>94</v>
      </c>
      <c r="C3" s="15" t="s">
        <v>95</v>
      </c>
      <c r="D3" s="15" t="s">
        <v>96</v>
      </c>
      <c r="E3" s="15" t="s">
        <v>97</v>
      </c>
    </row>
    <row r="4" spans="1:5" x14ac:dyDescent="0.3">
      <c r="A4" s="63" t="s">
        <v>98</v>
      </c>
      <c r="B4" s="63"/>
      <c r="C4" s="63"/>
      <c r="D4" s="63"/>
      <c r="E4" s="63"/>
    </row>
    <row r="5" spans="1:5" x14ac:dyDescent="0.3">
      <c r="A5" s="16" t="s">
        <v>99</v>
      </c>
      <c r="B5" s="16" t="s">
        <v>100</v>
      </c>
      <c r="C5" s="16" t="s">
        <v>101</v>
      </c>
      <c r="D5" s="16" t="s">
        <v>102</v>
      </c>
      <c r="E5" s="20">
        <v>550</v>
      </c>
    </row>
    <row r="6" spans="1:5" x14ac:dyDescent="0.3">
      <c r="A6" s="16" t="s">
        <v>103</v>
      </c>
      <c r="B6" s="16" t="s">
        <v>104</v>
      </c>
      <c r="C6" s="16" t="s">
        <v>101</v>
      </c>
      <c r="D6" s="16" t="s">
        <v>102</v>
      </c>
      <c r="E6" s="20">
        <v>480</v>
      </c>
    </row>
    <row r="7" spans="1:5" x14ac:dyDescent="0.3">
      <c r="A7" s="16" t="s">
        <v>105</v>
      </c>
      <c r="B7" s="16" t="s">
        <v>106</v>
      </c>
      <c r="C7" s="16" t="s">
        <v>101</v>
      </c>
      <c r="D7" s="16" t="s">
        <v>102</v>
      </c>
      <c r="E7" s="20">
        <v>650</v>
      </c>
    </row>
    <row r="8" spans="1:5" x14ac:dyDescent="0.3">
      <c r="A8" s="16" t="s">
        <v>107</v>
      </c>
      <c r="B8" s="16" t="s">
        <v>108</v>
      </c>
      <c r="C8" s="16" t="s">
        <v>109</v>
      </c>
      <c r="D8" s="16" t="s">
        <v>102</v>
      </c>
      <c r="E8" s="20">
        <v>60</v>
      </c>
    </row>
    <row r="9" spans="1:5" x14ac:dyDescent="0.3">
      <c r="A9" s="16" t="s">
        <v>110</v>
      </c>
      <c r="B9" s="16" t="s">
        <v>111</v>
      </c>
      <c r="C9" s="16" t="s">
        <v>109</v>
      </c>
      <c r="D9" s="16" t="s">
        <v>102</v>
      </c>
      <c r="E9" s="20">
        <v>55</v>
      </c>
    </row>
    <row r="10" spans="1:5" x14ac:dyDescent="0.3">
      <c r="A10" s="16" t="s">
        <v>112</v>
      </c>
      <c r="B10" s="16" t="s">
        <v>113</v>
      </c>
      <c r="C10" s="16" t="s">
        <v>109</v>
      </c>
      <c r="D10" s="16" t="s">
        <v>102</v>
      </c>
      <c r="E10" s="20">
        <v>40</v>
      </c>
    </row>
    <row r="11" spans="1:5" x14ac:dyDescent="0.3">
      <c r="A11" s="16" t="s">
        <v>114</v>
      </c>
      <c r="B11" s="16" t="s">
        <v>115</v>
      </c>
      <c r="C11" s="16" t="s">
        <v>116</v>
      </c>
      <c r="D11" s="16" t="s">
        <v>117</v>
      </c>
      <c r="E11" s="20">
        <v>12</v>
      </c>
    </row>
    <row r="12" spans="1:5" x14ac:dyDescent="0.3">
      <c r="A12" s="16" t="s">
        <v>118</v>
      </c>
      <c r="B12" s="16" t="s">
        <v>119</v>
      </c>
      <c r="C12" s="16" t="s">
        <v>120</v>
      </c>
      <c r="D12" s="16" t="s">
        <v>102</v>
      </c>
      <c r="E12" s="20">
        <v>55</v>
      </c>
    </row>
    <row r="13" spans="1:5" x14ac:dyDescent="0.3">
      <c r="A13" s="16" t="s">
        <v>121</v>
      </c>
      <c r="B13" s="16" t="s">
        <v>122</v>
      </c>
      <c r="C13" s="16" t="s">
        <v>116</v>
      </c>
      <c r="D13" s="16" t="s">
        <v>102</v>
      </c>
      <c r="E13" s="20">
        <v>480</v>
      </c>
    </row>
    <row r="14" spans="1:5" x14ac:dyDescent="0.3">
      <c r="A14" s="16" t="s">
        <v>123</v>
      </c>
      <c r="B14" s="16" t="s">
        <v>124</v>
      </c>
      <c r="C14" s="16" t="s">
        <v>116</v>
      </c>
      <c r="D14" s="16" t="s">
        <v>117</v>
      </c>
      <c r="E14" s="20">
        <v>8</v>
      </c>
    </row>
    <row r="15" spans="1:5" x14ac:dyDescent="0.3">
      <c r="A15" s="16" t="s">
        <v>125</v>
      </c>
      <c r="B15" s="16" t="s">
        <v>126</v>
      </c>
      <c r="C15" s="16" t="s">
        <v>120</v>
      </c>
      <c r="D15" s="16" t="s">
        <v>102</v>
      </c>
      <c r="E15" s="20">
        <v>120</v>
      </c>
    </row>
    <row r="16" spans="1:5" x14ac:dyDescent="0.3">
      <c r="A16" s="16" t="s">
        <v>127</v>
      </c>
      <c r="B16" s="16" t="s">
        <v>128</v>
      </c>
      <c r="C16" s="16" t="s">
        <v>120</v>
      </c>
      <c r="D16" s="16" t="s">
        <v>117</v>
      </c>
      <c r="E16" s="20">
        <v>15</v>
      </c>
    </row>
    <row r="17" spans="1:5" x14ac:dyDescent="0.3">
      <c r="A17" s="16" t="s">
        <v>129</v>
      </c>
      <c r="B17" s="16" t="s">
        <v>130</v>
      </c>
      <c r="C17" s="16" t="s">
        <v>131</v>
      </c>
      <c r="D17" s="16" t="s">
        <v>102</v>
      </c>
      <c r="E17" s="20">
        <v>220</v>
      </c>
    </row>
    <row r="18" spans="1:5" x14ac:dyDescent="0.3">
      <c r="A18" s="16" t="s">
        <v>132</v>
      </c>
      <c r="B18" s="16" t="s">
        <v>133</v>
      </c>
      <c r="C18" s="16" t="s">
        <v>131</v>
      </c>
      <c r="D18" s="16" t="s">
        <v>102</v>
      </c>
      <c r="E18" s="20">
        <v>180</v>
      </c>
    </row>
    <row r="19" spans="1:5" x14ac:dyDescent="0.3">
      <c r="A19" s="16" t="s">
        <v>134</v>
      </c>
      <c r="B19" s="16" t="s">
        <v>135</v>
      </c>
      <c r="C19" s="16" t="s">
        <v>116</v>
      </c>
      <c r="D19" s="16" t="s">
        <v>102</v>
      </c>
      <c r="E19" s="20">
        <v>620</v>
      </c>
    </row>
    <row r="20" spans="1:5" x14ac:dyDescent="0.3">
      <c r="A20" s="63" t="s">
        <v>136</v>
      </c>
      <c r="B20" s="63"/>
      <c r="C20" s="63"/>
      <c r="D20" s="63"/>
      <c r="E20" s="63"/>
    </row>
    <row r="21" spans="1:5" x14ac:dyDescent="0.3">
      <c r="A21" s="16" t="s">
        <v>137</v>
      </c>
      <c r="B21" s="16" t="s">
        <v>138</v>
      </c>
      <c r="C21" s="16" t="s">
        <v>139</v>
      </c>
      <c r="D21" s="16" t="s">
        <v>102</v>
      </c>
      <c r="E21" s="20">
        <v>900</v>
      </c>
    </row>
    <row r="22" spans="1:5" x14ac:dyDescent="0.3">
      <c r="A22" s="16" t="s">
        <v>140</v>
      </c>
      <c r="B22" s="16" t="s">
        <v>141</v>
      </c>
      <c r="C22" s="16" t="s">
        <v>139</v>
      </c>
      <c r="D22" s="16" t="s">
        <v>117</v>
      </c>
      <c r="E22" s="20">
        <v>3</v>
      </c>
    </row>
    <row r="23" spans="1:5" x14ac:dyDescent="0.3">
      <c r="A23" s="16" t="s">
        <v>142</v>
      </c>
      <c r="B23" s="16" t="s">
        <v>143</v>
      </c>
      <c r="C23" s="16" t="s">
        <v>139</v>
      </c>
      <c r="D23" s="16" t="s">
        <v>117</v>
      </c>
      <c r="E23" s="20">
        <v>4</v>
      </c>
    </row>
    <row r="24" spans="1:5" x14ac:dyDescent="0.3">
      <c r="A24" s="16" t="s">
        <v>144</v>
      </c>
      <c r="B24" s="16" t="s">
        <v>145</v>
      </c>
      <c r="C24" s="16" t="s">
        <v>146</v>
      </c>
      <c r="D24" s="16" t="s">
        <v>147</v>
      </c>
      <c r="E24" s="20">
        <v>65</v>
      </c>
    </row>
    <row r="25" spans="1:5" x14ac:dyDescent="0.3">
      <c r="A25" s="16" t="s">
        <v>148</v>
      </c>
      <c r="B25" s="16" t="s">
        <v>149</v>
      </c>
      <c r="C25" s="16" t="s">
        <v>139</v>
      </c>
      <c r="D25" s="16" t="s">
        <v>102</v>
      </c>
      <c r="E25" s="20">
        <v>350</v>
      </c>
    </row>
    <row r="26" spans="1:5" x14ac:dyDescent="0.3">
      <c r="A26" s="16" t="s">
        <v>150</v>
      </c>
      <c r="B26" s="16" t="s">
        <v>151</v>
      </c>
      <c r="C26" s="16" t="s">
        <v>152</v>
      </c>
      <c r="D26" s="16" t="s">
        <v>147</v>
      </c>
      <c r="E26" s="20">
        <v>950</v>
      </c>
    </row>
    <row r="27" spans="1:5" x14ac:dyDescent="0.3">
      <c r="A27" s="16" t="s">
        <v>153</v>
      </c>
      <c r="B27" s="16" t="s">
        <v>154</v>
      </c>
      <c r="C27" s="16" t="s">
        <v>155</v>
      </c>
      <c r="D27" s="16" t="s">
        <v>102</v>
      </c>
      <c r="E27" s="20">
        <v>150</v>
      </c>
    </row>
    <row r="28" spans="1:5" x14ac:dyDescent="0.3">
      <c r="A28" s="16" t="s">
        <v>156</v>
      </c>
      <c r="B28" s="16" t="s">
        <v>157</v>
      </c>
      <c r="C28" s="16" t="s">
        <v>155</v>
      </c>
      <c r="D28" s="16" t="s">
        <v>102</v>
      </c>
      <c r="E28" s="20">
        <v>100</v>
      </c>
    </row>
    <row r="29" spans="1:5" x14ac:dyDescent="0.3">
      <c r="A29" s="16" t="s">
        <v>158</v>
      </c>
      <c r="B29" s="16" t="s">
        <v>159</v>
      </c>
      <c r="C29" s="16" t="s">
        <v>109</v>
      </c>
      <c r="D29" s="16" t="s">
        <v>102</v>
      </c>
      <c r="E29" s="20">
        <v>90</v>
      </c>
    </row>
    <row r="30" spans="1:5" x14ac:dyDescent="0.3">
      <c r="A30" s="16" t="s">
        <v>160</v>
      </c>
      <c r="B30" s="16" t="s">
        <v>161</v>
      </c>
      <c r="C30" s="16" t="s">
        <v>162</v>
      </c>
      <c r="D30" s="16" t="s">
        <v>147</v>
      </c>
      <c r="E30" s="20">
        <v>45</v>
      </c>
    </row>
    <row r="31" spans="1:5" x14ac:dyDescent="0.3">
      <c r="A31" s="16" t="s">
        <v>163</v>
      </c>
      <c r="B31" s="16" t="s">
        <v>164</v>
      </c>
      <c r="C31" s="16" t="s">
        <v>165</v>
      </c>
      <c r="D31" s="16" t="s">
        <v>166</v>
      </c>
      <c r="E31" s="20">
        <v>35</v>
      </c>
    </row>
    <row r="32" spans="1:5" x14ac:dyDescent="0.3">
      <c r="A32" s="63" t="s">
        <v>167</v>
      </c>
      <c r="B32" s="63"/>
      <c r="C32" s="63"/>
      <c r="D32" s="63"/>
      <c r="E32" s="63"/>
    </row>
    <row r="33" spans="1:5" x14ac:dyDescent="0.3">
      <c r="A33" s="16" t="s">
        <v>168</v>
      </c>
      <c r="B33" s="16" t="s">
        <v>169</v>
      </c>
      <c r="C33" s="16" t="s">
        <v>170</v>
      </c>
      <c r="D33" s="16" t="s">
        <v>117</v>
      </c>
      <c r="E33" s="20">
        <v>8</v>
      </c>
    </row>
    <row r="34" spans="1:5" x14ac:dyDescent="0.3">
      <c r="A34" s="16" t="s">
        <v>171</v>
      </c>
      <c r="B34" s="16" t="s">
        <v>172</v>
      </c>
      <c r="C34" s="16" t="s">
        <v>170</v>
      </c>
      <c r="D34" s="16" t="s">
        <v>117</v>
      </c>
      <c r="E34" s="20">
        <v>15</v>
      </c>
    </row>
    <row r="35" spans="1:5" x14ac:dyDescent="0.3">
      <c r="A35" s="16" t="s">
        <v>173</v>
      </c>
      <c r="B35" s="16" t="s">
        <v>174</v>
      </c>
      <c r="C35" s="16" t="s">
        <v>175</v>
      </c>
      <c r="D35" s="16" t="s">
        <v>117</v>
      </c>
      <c r="E35" s="20">
        <v>1</v>
      </c>
    </row>
    <row r="36" spans="1:5" x14ac:dyDescent="0.3">
      <c r="A36" s="16" t="s">
        <v>176</v>
      </c>
      <c r="B36" s="16" t="s">
        <v>177</v>
      </c>
      <c r="C36" s="16" t="s">
        <v>175</v>
      </c>
      <c r="D36" s="16" t="s">
        <v>117</v>
      </c>
      <c r="E36" s="20">
        <v>1</v>
      </c>
    </row>
    <row r="37" spans="1:5" x14ac:dyDescent="0.3">
      <c r="A37" s="16" t="s">
        <v>178</v>
      </c>
      <c r="B37" s="16" t="s">
        <v>179</v>
      </c>
      <c r="C37" s="16" t="s">
        <v>180</v>
      </c>
      <c r="D37" s="16" t="s">
        <v>102</v>
      </c>
      <c r="E37" s="20">
        <v>60</v>
      </c>
    </row>
    <row r="38" spans="1:5" x14ac:dyDescent="0.3">
      <c r="A38" s="16" t="s">
        <v>181</v>
      </c>
      <c r="B38" s="16" t="s">
        <v>182</v>
      </c>
      <c r="C38" s="16" t="s">
        <v>180</v>
      </c>
      <c r="D38" s="16" t="s">
        <v>102</v>
      </c>
      <c r="E38" s="20">
        <v>25</v>
      </c>
    </row>
    <row r="39" spans="1:5" x14ac:dyDescent="0.3">
      <c r="A39" s="16" t="s">
        <v>183</v>
      </c>
      <c r="B39" s="16" t="s">
        <v>184</v>
      </c>
      <c r="C39" s="16" t="s">
        <v>180</v>
      </c>
      <c r="D39" s="16" t="s">
        <v>147</v>
      </c>
      <c r="E39" s="20">
        <v>150</v>
      </c>
    </row>
    <row r="40" spans="1:5" x14ac:dyDescent="0.3">
      <c r="A40" s="16" t="s">
        <v>185</v>
      </c>
      <c r="B40" s="16" t="s">
        <v>186</v>
      </c>
      <c r="C40" s="16" t="s">
        <v>180</v>
      </c>
      <c r="D40" s="16" t="s">
        <v>102</v>
      </c>
      <c r="E40" s="20">
        <v>400</v>
      </c>
    </row>
    <row r="41" spans="1:5" x14ac:dyDescent="0.3">
      <c r="A41" s="16" t="s">
        <v>187</v>
      </c>
      <c r="B41" s="16" t="s">
        <v>188</v>
      </c>
      <c r="C41" s="16" t="s">
        <v>180</v>
      </c>
      <c r="D41" s="16" t="s">
        <v>102</v>
      </c>
      <c r="E41" s="20">
        <v>500</v>
      </c>
    </row>
  </sheetData>
  <mergeCells count="5">
    <mergeCell ref="A1:E1"/>
    <mergeCell ref="A2:E2"/>
    <mergeCell ref="A4:E4"/>
    <mergeCell ref="A20:E20"/>
    <mergeCell ref="A32:E3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E7C7B"/>
  </sheetPr>
  <dimension ref="A1:F53"/>
  <sheetViews>
    <sheetView showGridLines="0" zoomScaleNormal="100" workbookViewId="0">
      <pane ySplit="3" topLeftCell="A4" activePane="bottomLeft" state="frozen"/>
      <selection pane="bottomLeft" activeCell="A8" sqref="A8:XFD8"/>
    </sheetView>
  </sheetViews>
  <sheetFormatPr defaultColWidth="8.6640625" defaultRowHeight="14.4" x14ac:dyDescent="0.3"/>
  <cols>
    <col min="1" max="1" width="12" customWidth="1"/>
    <col min="2" max="2" width="26" customWidth="1"/>
    <col min="3" max="3" width="12" customWidth="1"/>
    <col min="4" max="4" width="20" customWidth="1"/>
    <col min="5" max="6" width="10" customWidth="1"/>
  </cols>
  <sheetData>
    <row r="1" spans="1:6" ht="25.5" customHeight="1" x14ac:dyDescent="0.3">
      <c r="A1" s="14" t="s">
        <v>189</v>
      </c>
      <c r="B1" s="14"/>
      <c r="C1" s="14"/>
      <c r="D1" s="14"/>
      <c r="E1" s="14"/>
      <c r="F1" s="14"/>
    </row>
    <row r="2" spans="1:6" x14ac:dyDescent="0.3">
      <c r="A2" s="13" t="s">
        <v>190</v>
      </c>
      <c r="B2" s="13"/>
      <c r="C2" s="13"/>
      <c r="D2" s="13"/>
      <c r="E2" s="13"/>
      <c r="F2" s="13"/>
    </row>
    <row r="3" spans="1:6" ht="30" customHeight="1" x14ac:dyDescent="0.3">
      <c r="A3" s="15" t="s">
        <v>191</v>
      </c>
      <c r="B3" s="15" t="s">
        <v>192</v>
      </c>
      <c r="C3" s="15" t="s">
        <v>95</v>
      </c>
      <c r="D3" s="15" t="s">
        <v>193</v>
      </c>
      <c r="E3" s="15" t="s">
        <v>96</v>
      </c>
      <c r="F3" s="15" t="s">
        <v>194</v>
      </c>
    </row>
    <row r="4" spans="1:6" x14ac:dyDescent="0.3">
      <c r="A4" s="63" t="s">
        <v>195</v>
      </c>
      <c r="B4" s="63"/>
      <c r="C4" s="63"/>
      <c r="D4" s="63"/>
      <c r="E4" s="63"/>
      <c r="F4" s="63"/>
    </row>
    <row r="5" spans="1:6" x14ac:dyDescent="0.3">
      <c r="A5" s="63" t="s">
        <v>196</v>
      </c>
      <c r="B5" s="63"/>
      <c r="C5" s="63"/>
      <c r="D5" s="63"/>
      <c r="E5" s="63"/>
      <c r="F5" s="63"/>
    </row>
    <row r="6" spans="1:6" x14ac:dyDescent="0.3">
      <c r="A6" s="16" t="s">
        <v>197</v>
      </c>
      <c r="B6" s="16" t="s">
        <v>198</v>
      </c>
      <c r="C6" s="16" t="s">
        <v>199</v>
      </c>
      <c r="D6" s="16" t="s">
        <v>200</v>
      </c>
      <c r="E6" s="16" t="s">
        <v>201</v>
      </c>
      <c r="F6" s="16" t="s">
        <v>202</v>
      </c>
    </row>
    <row r="7" spans="1:6" x14ac:dyDescent="0.3">
      <c r="A7" s="16" t="s">
        <v>203</v>
      </c>
      <c r="B7" s="16" t="s">
        <v>204</v>
      </c>
      <c r="C7" s="16" t="s">
        <v>199</v>
      </c>
      <c r="D7" s="16" t="s">
        <v>200</v>
      </c>
      <c r="E7" s="16" t="s">
        <v>201</v>
      </c>
      <c r="F7" s="16" t="s">
        <v>202</v>
      </c>
    </row>
    <row r="8" spans="1:6" x14ac:dyDescent="0.3">
      <c r="A8" s="63" t="s">
        <v>205</v>
      </c>
      <c r="B8" s="63"/>
      <c r="C8" s="63"/>
      <c r="D8" s="63"/>
      <c r="E8" s="63"/>
      <c r="F8" s="63"/>
    </row>
    <row r="9" spans="1:6" x14ac:dyDescent="0.3">
      <c r="A9" s="16" t="s">
        <v>206</v>
      </c>
      <c r="B9" s="16" t="s">
        <v>207</v>
      </c>
      <c r="C9" s="16" t="s">
        <v>199</v>
      </c>
      <c r="D9" s="16" t="s">
        <v>208</v>
      </c>
      <c r="E9" s="16" t="s">
        <v>201</v>
      </c>
      <c r="F9" s="16" t="s">
        <v>202</v>
      </c>
    </row>
    <row r="10" spans="1:6" x14ac:dyDescent="0.3">
      <c r="A10" s="16" t="s">
        <v>209</v>
      </c>
      <c r="B10" s="16" t="s">
        <v>210</v>
      </c>
      <c r="C10" s="16" t="s">
        <v>199</v>
      </c>
      <c r="D10" s="16" t="s">
        <v>208</v>
      </c>
      <c r="E10" s="16" t="s">
        <v>201</v>
      </c>
      <c r="F10" s="16" t="s">
        <v>202</v>
      </c>
    </row>
    <row r="11" spans="1:6" x14ac:dyDescent="0.3">
      <c r="A11" s="63" t="s">
        <v>211</v>
      </c>
      <c r="B11" s="63"/>
      <c r="C11" s="63"/>
      <c r="D11" s="63"/>
      <c r="E11" s="63"/>
      <c r="F11" s="63"/>
    </row>
    <row r="12" spans="1:6" x14ac:dyDescent="0.3">
      <c r="A12" s="16" t="s">
        <v>212</v>
      </c>
      <c r="B12" s="16" t="s">
        <v>213</v>
      </c>
      <c r="C12" s="16" t="s">
        <v>199</v>
      </c>
      <c r="D12" s="16" t="s">
        <v>214</v>
      </c>
      <c r="E12" s="16" t="s">
        <v>201</v>
      </c>
      <c r="F12" s="16" t="s">
        <v>202</v>
      </c>
    </row>
    <row r="13" spans="1:6" x14ac:dyDescent="0.3">
      <c r="A13" s="16" t="s">
        <v>215</v>
      </c>
      <c r="B13" s="16" t="s">
        <v>216</v>
      </c>
      <c r="C13" s="16" t="s">
        <v>199</v>
      </c>
      <c r="D13" s="16" t="s">
        <v>214</v>
      </c>
      <c r="E13" s="16" t="s">
        <v>201</v>
      </c>
      <c r="F13" s="16" t="s">
        <v>202</v>
      </c>
    </row>
    <row r="14" spans="1:6" x14ac:dyDescent="0.3">
      <c r="A14" s="63" t="s">
        <v>217</v>
      </c>
      <c r="B14" s="63"/>
      <c r="C14" s="63"/>
      <c r="D14" s="63"/>
      <c r="E14" s="63"/>
      <c r="F14" s="63"/>
    </row>
    <row r="15" spans="1:6" x14ac:dyDescent="0.3">
      <c r="A15" s="16" t="s">
        <v>218</v>
      </c>
      <c r="B15" s="16" t="s">
        <v>219</v>
      </c>
      <c r="C15" s="16" t="s">
        <v>199</v>
      </c>
      <c r="D15" s="16" t="s">
        <v>217</v>
      </c>
      <c r="E15" s="16" t="s">
        <v>201</v>
      </c>
      <c r="F15" s="16" t="s">
        <v>202</v>
      </c>
    </row>
    <row r="16" spans="1:6" x14ac:dyDescent="0.3">
      <c r="A16" s="16" t="s">
        <v>220</v>
      </c>
      <c r="B16" s="16" t="s">
        <v>221</v>
      </c>
      <c r="C16" s="16" t="s">
        <v>199</v>
      </c>
      <c r="D16" s="16" t="s">
        <v>217</v>
      </c>
      <c r="E16" s="16" t="s">
        <v>201</v>
      </c>
      <c r="F16" s="16" t="s">
        <v>202</v>
      </c>
    </row>
    <row r="17" spans="1:6" x14ac:dyDescent="0.3">
      <c r="A17" s="63" t="s">
        <v>222</v>
      </c>
      <c r="B17" s="63"/>
      <c r="C17" s="63"/>
      <c r="D17" s="63"/>
      <c r="E17" s="63"/>
      <c r="F17" s="63"/>
    </row>
    <row r="18" spans="1:6" x14ac:dyDescent="0.3">
      <c r="A18" s="16" t="s">
        <v>223</v>
      </c>
      <c r="B18" s="16" t="s">
        <v>224</v>
      </c>
      <c r="C18" s="16" t="s">
        <v>199</v>
      </c>
      <c r="D18" s="16" t="s">
        <v>222</v>
      </c>
      <c r="E18" s="16" t="s">
        <v>201</v>
      </c>
      <c r="F18" s="16" t="s">
        <v>202</v>
      </c>
    </row>
    <row r="19" spans="1:6" x14ac:dyDescent="0.3">
      <c r="A19" s="16" t="s">
        <v>225</v>
      </c>
      <c r="B19" s="16" t="s">
        <v>226</v>
      </c>
      <c r="C19" s="16" t="s">
        <v>199</v>
      </c>
      <c r="D19" s="16" t="s">
        <v>222</v>
      </c>
      <c r="E19" s="16" t="s">
        <v>201</v>
      </c>
      <c r="F19" s="16" t="s">
        <v>202</v>
      </c>
    </row>
    <row r="20" spans="1:6" x14ac:dyDescent="0.3">
      <c r="A20" s="63" t="s">
        <v>227</v>
      </c>
      <c r="B20" s="63"/>
      <c r="C20" s="63"/>
      <c r="D20" s="63"/>
      <c r="E20" s="63"/>
      <c r="F20" s="63"/>
    </row>
    <row r="21" spans="1:6" x14ac:dyDescent="0.3">
      <c r="A21" s="16" t="s">
        <v>228</v>
      </c>
      <c r="B21" s="16" t="s">
        <v>229</v>
      </c>
      <c r="C21" s="16" t="s">
        <v>199</v>
      </c>
      <c r="D21" s="16" t="s">
        <v>227</v>
      </c>
      <c r="E21" s="16" t="s">
        <v>201</v>
      </c>
      <c r="F21" s="16" t="s">
        <v>202</v>
      </c>
    </row>
    <row r="22" spans="1:6" x14ac:dyDescent="0.3">
      <c r="A22" s="16" t="s">
        <v>230</v>
      </c>
      <c r="B22" s="16" t="s">
        <v>231</v>
      </c>
      <c r="C22" s="16" t="s">
        <v>199</v>
      </c>
      <c r="D22" s="16" t="s">
        <v>227</v>
      </c>
      <c r="E22" s="16" t="s">
        <v>201</v>
      </c>
      <c r="F22" s="16" t="s">
        <v>202</v>
      </c>
    </row>
    <row r="23" spans="1:6" x14ac:dyDescent="0.3">
      <c r="A23" s="63" t="s">
        <v>232</v>
      </c>
      <c r="B23" s="63"/>
      <c r="C23" s="63"/>
      <c r="D23" s="63"/>
      <c r="E23" s="63"/>
      <c r="F23" s="63"/>
    </row>
    <row r="24" spans="1:6" x14ac:dyDescent="0.3">
      <c r="A24" s="16" t="s">
        <v>233</v>
      </c>
      <c r="B24" s="16" t="s">
        <v>234</v>
      </c>
      <c r="C24" s="16" t="s">
        <v>199</v>
      </c>
      <c r="D24" s="16" t="s">
        <v>235</v>
      </c>
      <c r="E24" s="16" t="s">
        <v>201</v>
      </c>
      <c r="F24" s="16" t="s">
        <v>202</v>
      </c>
    </row>
    <row r="25" spans="1:6" x14ac:dyDescent="0.3">
      <c r="A25" s="16" t="s">
        <v>236</v>
      </c>
      <c r="B25" s="16" t="s">
        <v>237</v>
      </c>
      <c r="C25" s="16" t="s">
        <v>199</v>
      </c>
      <c r="D25" s="16" t="s">
        <v>235</v>
      </c>
      <c r="E25" s="16" t="s">
        <v>201</v>
      </c>
      <c r="F25" s="16" t="s">
        <v>202</v>
      </c>
    </row>
    <row r="26" spans="1:6" x14ac:dyDescent="0.3">
      <c r="A26" s="63" t="s">
        <v>238</v>
      </c>
      <c r="B26" s="63"/>
      <c r="C26" s="63"/>
      <c r="D26" s="63"/>
      <c r="E26" s="63"/>
      <c r="F26" s="63"/>
    </row>
    <row r="27" spans="1:6" x14ac:dyDescent="0.3">
      <c r="A27" s="16" t="s">
        <v>239</v>
      </c>
      <c r="B27" s="16" t="s">
        <v>240</v>
      </c>
      <c r="C27" s="16" t="s">
        <v>199</v>
      </c>
      <c r="D27" s="16" t="s">
        <v>238</v>
      </c>
      <c r="E27" s="16" t="s">
        <v>201</v>
      </c>
      <c r="F27" s="16" t="s">
        <v>202</v>
      </c>
    </row>
    <row r="28" spans="1:6" x14ac:dyDescent="0.3">
      <c r="A28" s="63" t="s">
        <v>241</v>
      </c>
      <c r="B28" s="63"/>
      <c r="C28" s="63"/>
      <c r="D28" s="63"/>
      <c r="E28" s="63"/>
      <c r="F28" s="63"/>
    </row>
    <row r="29" spans="1:6" x14ac:dyDescent="0.3">
      <c r="A29" s="63" t="s">
        <v>242</v>
      </c>
      <c r="B29" s="63"/>
      <c r="C29" s="63"/>
      <c r="D29" s="63"/>
      <c r="E29" s="63"/>
      <c r="F29" s="63"/>
    </row>
    <row r="30" spans="1:6" x14ac:dyDescent="0.3">
      <c r="A30" s="16" t="s">
        <v>243</v>
      </c>
      <c r="B30" s="16" t="s">
        <v>244</v>
      </c>
      <c r="C30" s="16" t="s">
        <v>245</v>
      </c>
      <c r="D30" s="16" t="s">
        <v>242</v>
      </c>
      <c r="E30" s="16" t="s">
        <v>246</v>
      </c>
      <c r="F30" s="16" t="s">
        <v>202</v>
      </c>
    </row>
    <row r="31" spans="1:6" x14ac:dyDescent="0.3">
      <c r="A31" s="16" t="s">
        <v>247</v>
      </c>
      <c r="B31" s="16" t="s">
        <v>248</v>
      </c>
      <c r="C31" s="16" t="s">
        <v>245</v>
      </c>
      <c r="D31" s="16" t="s">
        <v>242</v>
      </c>
      <c r="E31" s="16" t="s">
        <v>246</v>
      </c>
      <c r="F31" s="16" t="s">
        <v>202</v>
      </c>
    </row>
    <row r="32" spans="1:6" x14ac:dyDescent="0.3">
      <c r="A32" s="63" t="s">
        <v>249</v>
      </c>
      <c r="B32" s="63"/>
      <c r="C32" s="63"/>
      <c r="D32" s="63"/>
      <c r="E32" s="63"/>
      <c r="F32" s="63"/>
    </row>
    <row r="33" spans="1:6" x14ac:dyDescent="0.3">
      <c r="A33" s="16" t="s">
        <v>250</v>
      </c>
      <c r="B33" s="16" t="s">
        <v>251</v>
      </c>
      <c r="C33" s="16" t="s">
        <v>245</v>
      </c>
      <c r="D33" s="16" t="s">
        <v>249</v>
      </c>
      <c r="E33" s="16" t="s">
        <v>246</v>
      </c>
      <c r="F33" s="16" t="s">
        <v>202</v>
      </c>
    </row>
    <row r="34" spans="1:6" x14ac:dyDescent="0.3">
      <c r="A34" s="16" t="s">
        <v>252</v>
      </c>
      <c r="B34" s="16" t="s">
        <v>253</v>
      </c>
      <c r="C34" s="16" t="s">
        <v>245</v>
      </c>
      <c r="D34" s="16" t="s">
        <v>249</v>
      </c>
      <c r="E34" s="16" t="s">
        <v>246</v>
      </c>
      <c r="F34" s="16" t="s">
        <v>202</v>
      </c>
    </row>
    <row r="35" spans="1:6" x14ac:dyDescent="0.3">
      <c r="A35" s="63" t="s">
        <v>254</v>
      </c>
      <c r="B35" s="63"/>
      <c r="C35" s="63"/>
      <c r="D35" s="63"/>
      <c r="E35" s="63"/>
      <c r="F35" s="63"/>
    </row>
    <row r="36" spans="1:6" x14ac:dyDescent="0.3">
      <c r="A36" s="16" t="s">
        <v>255</v>
      </c>
      <c r="B36" s="16" t="s">
        <v>256</v>
      </c>
      <c r="C36" s="16" t="s">
        <v>245</v>
      </c>
      <c r="D36" s="16" t="s">
        <v>257</v>
      </c>
      <c r="E36" s="16" t="s">
        <v>246</v>
      </c>
      <c r="F36" s="16" t="s">
        <v>202</v>
      </c>
    </row>
    <row r="37" spans="1:6" x14ac:dyDescent="0.3">
      <c r="A37" s="63" t="s">
        <v>258</v>
      </c>
      <c r="B37" s="63"/>
      <c r="C37" s="63"/>
      <c r="D37" s="63"/>
      <c r="E37" s="63"/>
      <c r="F37" s="63"/>
    </row>
    <row r="38" spans="1:6" x14ac:dyDescent="0.3">
      <c r="A38" s="16" t="s">
        <v>259</v>
      </c>
      <c r="B38" s="16" t="s">
        <v>260</v>
      </c>
      <c r="C38" s="16" t="s">
        <v>245</v>
      </c>
      <c r="D38" s="16" t="s">
        <v>261</v>
      </c>
      <c r="E38" s="16" t="s">
        <v>262</v>
      </c>
      <c r="F38" s="16" t="s">
        <v>202</v>
      </c>
    </row>
    <row r="39" spans="1:6" x14ac:dyDescent="0.3">
      <c r="A39" s="16" t="s">
        <v>263</v>
      </c>
      <c r="B39" s="16" t="s">
        <v>264</v>
      </c>
      <c r="C39" s="16" t="s">
        <v>245</v>
      </c>
      <c r="D39" s="16" t="s">
        <v>261</v>
      </c>
      <c r="E39" s="16" t="s">
        <v>262</v>
      </c>
      <c r="F39" s="16" t="s">
        <v>202</v>
      </c>
    </row>
    <row r="40" spans="1:6" x14ac:dyDescent="0.3">
      <c r="A40" s="63" t="s">
        <v>265</v>
      </c>
      <c r="B40" s="63"/>
      <c r="C40" s="63"/>
      <c r="D40" s="63"/>
      <c r="E40" s="63"/>
      <c r="F40" s="63"/>
    </row>
    <row r="41" spans="1:6" x14ac:dyDescent="0.3">
      <c r="A41" s="16" t="s">
        <v>266</v>
      </c>
      <c r="B41" s="16" t="s">
        <v>267</v>
      </c>
      <c r="C41" s="16" t="s">
        <v>245</v>
      </c>
      <c r="D41" s="16" t="s">
        <v>268</v>
      </c>
      <c r="E41" s="16" t="s">
        <v>262</v>
      </c>
      <c r="F41" s="16" t="s">
        <v>202</v>
      </c>
    </row>
    <row r="42" spans="1:6" x14ac:dyDescent="0.3">
      <c r="A42" s="63" t="s">
        <v>269</v>
      </c>
      <c r="B42" s="63"/>
      <c r="C42" s="63"/>
      <c r="D42" s="63"/>
      <c r="E42" s="63"/>
      <c r="F42" s="63"/>
    </row>
    <row r="43" spans="1:6" x14ac:dyDescent="0.3">
      <c r="A43" s="16" t="s">
        <v>270</v>
      </c>
      <c r="B43" s="16" t="s">
        <v>271</v>
      </c>
      <c r="C43" s="16" t="s">
        <v>245</v>
      </c>
      <c r="D43" s="16" t="s">
        <v>165</v>
      </c>
      <c r="E43" s="16" t="s">
        <v>166</v>
      </c>
      <c r="F43" s="16" t="s">
        <v>202</v>
      </c>
    </row>
    <row r="44" spans="1:6" x14ac:dyDescent="0.3">
      <c r="A44" s="63" t="s">
        <v>272</v>
      </c>
      <c r="B44" s="63"/>
      <c r="C44" s="63"/>
      <c r="D44" s="63"/>
      <c r="E44" s="63"/>
      <c r="F44" s="63"/>
    </row>
    <row r="45" spans="1:6" x14ac:dyDescent="0.3">
      <c r="A45" s="16" t="s">
        <v>273</v>
      </c>
      <c r="B45" s="16" t="s">
        <v>169</v>
      </c>
      <c r="C45" s="16" t="s">
        <v>274</v>
      </c>
      <c r="D45" s="16" t="s">
        <v>170</v>
      </c>
      <c r="E45" s="16" t="s">
        <v>275</v>
      </c>
      <c r="F45" s="16" t="s">
        <v>202</v>
      </c>
    </row>
    <row r="46" spans="1:6" x14ac:dyDescent="0.3">
      <c r="A46" s="16" t="s">
        <v>276</v>
      </c>
      <c r="B46" s="16" t="s">
        <v>172</v>
      </c>
      <c r="C46" s="16" t="s">
        <v>274</v>
      </c>
      <c r="D46" s="16" t="s">
        <v>170</v>
      </c>
      <c r="E46" s="16" t="s">
        <v>275</v>
      </c>
      <c r="F46" s="16" t="s">
        <v>202</v>
      </c>
    </row>
    <row r="48" spans="1:6" x14ac:dyDescent="0.3">
      <c r="A48" s="64" t="s">
        <v>277</v>
      </c>
      <c r="B48" s="64"/>
      <c r="C48" s="64"/>
      <c r="D48" s="64"/>
      <c r="E48" s="64"/>
      <c r="F48" s="64"/>
    </row>
    <row r="49" spans="1:2" x14ac:dyDescent="0.3">
      <c r="A49" s="21" t="s">
        <v>30</v>
      </c>
      <c r="B49" s="21" t="s">
        <v>278</v>
      </c>
    </row>
    <row r="50" spans="1:2" x14ac:dyDescent="0.3">
      <c r="A50" s="22" t="s">
        <v>279</v>
      </c>
      <c r="B50" s="22">
        <f>COUNTIF(C4:C48,"Food")</f>
        <v>15</v>
      </c>
    </row>
    <row r="51" spans="1:2" x14ac:dyDescent="0.3">
      <c r="A51" s="22" t="s">
        <v>280</v>
      </c>
      <c r="B51" s="22">
        <f>COUNTIF(C4:C48,"Beverage")</f>
        <v>9</v>
      </c>
    </row>
    <row r="52" spans="1:2" x14ac:dyDescent="0.3">
      <c r="A52" s="22" t="s">
        <v>281</v>
      </c>
      <c r="B52" s="22">
        <f>COUNTIF(C4:C48,"To-Go Material")</f>
        <v>2</v>
      </c>
    </row>
    <row r="53" spans="1:2" x14ac:dyDescent="0.3">
      <c r="A53" s="23" t="s">
        <v>282</v>
      </c>
      <c r="B53" s="23">
        <f>SUM(B50:B52)</f>
        <v>26</v>
      </c>
    </row>
  </sheetData>
  <mergeCells count="20">
    <mergeCell ref="A37:F37"/>
    <mergeCell ref="A40:F40"/>
    <mergeCell ref="A42:F42"/>
    <mergeCell ref="A44:F44"/>
    <mergeCell ref="A48:F48"/>
    <mergeCell ref="A26:F26"/>
    <mergeCell ref="A28:F28"/>
    <mergeCell ref="A29:F29"/>
    <mergeCell ref="A32:F32"/>
    <mergeCell ref="A35:F35"/>
    <mergeCell ref="A11:F11"/>
    <mergeCell ref="A14:F14"/>
    <mergeCell ref="A17:F17"/>
    <mergeCell ref="A20:F20"/>
    <mergeCell ref="A23:F23"/>
    <mergeCell ref="A1:F1"/>
    <mergeCell ref="A2:F2"/>
    <mergeCell ref="A4:F4"/>
    <mergeCell ref="A5:F5"/>
    <mergeCell ref="A8:F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E7C7B"/>
  </sheetPr>
  <dimension ref="A1:J146"/>
  <sheetViews>
    <sheetView showGridLines="0" zoomScaleNormal="100" workbookViewId="0">
      <pane ySplit="3" topLeftCell="A4" activePane="bottomLeft" state="frozen"/>
      <selection pane="bottomLeft" activeCell="C10" sqref="C10"/>
    </sheetView>
  </sheetViews>
  <sheetFormatPr defaultColWidth="8.6640625" defaultRowHeight="14.4" x14ac:dyDescent="0.3"/>
  <cols>
    <col min="1" max="1" width="10" bestFit="1" customWidth="1"/>
    <col min="2" max="2" width="6.77734375" bestFit="1" customWidth="1"/>
    <col min="3" max="3" width="52.77734375" bestFit="1" customWidth="1"/>
    <col min="4" max="4" width="7" bestFit="1" customWidth="1"/>
    <col min="5" max="5" width="49.21875" bestFit="1" customWidth="1"/>
    <col min="6" max="6" width="9.88671875" customWidth="1"/>
    <col min="7" max="7" width="5.5546875" bestFit="1" customWidth="1"/>
    <col min="8" max="8" width="10.88671875" bestFit="1" customWidth="1"/>
    <col min="9" max="9" width="14.21875" bestFit="1" customWidth="1"/>
    <col min="10" max="10" width="14.109375" bestFit="1" customWidth="1"/>
  </cols>
  <sheetData>
    <row r="1" spans="1:10" ht="25.5" customHeight="1" x14ac:dyDescent="0.3">
      <c r="A1" s="14" t="s">
        <v>283</v>
      </c>
      <c r="B1" s="14"/>
      <c r="C1" s="14"/>
      <c r="D1" s="14"/>
      <c r="E1" s="14"/>
      <c r="F1" s="14"/>
      <c r="G1" s="14"/>
      <c r="H1" s="14"/>
      <c r="I1" s="14"/>
      <c r="J1" s="14"/>
    </row>
    <row r="2" spans="1:10" x14ac:dyDescent="0.3">
      <c r="A2" s="13" t="s">
        <v>284</v>
      </c>
      <c r="B2" s="13"/>
      <c r="C2" s="13"/>
      <c r="D2" s="13"/>
      <c r="E2" s="13"/>
      <c r="F2" s="13"/>
      <c r="G2" s="13"/>
      <c r="H2" s="13"/>
      <c r="I2" s="13"/>
      <c r="J2" s="13"/>
    </row>
    <row r="3" spans="1:10" ht="30" customHeight="1" x14ac:dyDescent="0.3">
      <c r="A3" s="15" t="s">
        <v>285</v>
      </c>
      <c r="B3" s="15" t="s">
        <v>191</v>
      </c>
      <c r="C3" s="15" t="s">
        <v>192</v>
      </c>
      <c r="D3" s="15" t="s">
        <v>93</v>
      </c>
      <c r="E3" s="15" t="s">
        <v>286</v>
      </c>
      <c r="F3" s="15" t="s">
        <v>96</v>
      </c>
      <c r="G3" s="15" t="s">
        <v>287</v>
      </c>
      <c r="H3" s="15" t="s">
        <v>288</v>
      </c>
      <c r="I3" s="15" t="s">
        <v>289</v>
      </c>
      <c r="J3" s="15" t="s">
        <v>290</v>
      </c>
    </row>
    <row r="4" spans="1:10" x14ac:dyDescent="0.3">
      <c r="A4" s="16" t="s">
        <v>291</v>
      </c>
      <c r="B4" s="16" t="s">
        <v>197</v>
      </c>
      <c r="C4" s="16" t="s">
        <v>198</v>
      </c>
      <c r="D4" s="16" t="s">
        <v>99</v>
      </c>
      <c r="E4" s="16" t="s">
        <v>100</v>
      </c>
      <c r="F4" s="16" t="s">
        <v>102</v>
      </c>
      <c r="G4" s="24">
        <v>0.15</v>
      </c>
      <c r="H4" s="25">
        <f>G4*IFERROR(INDEX('Item Master'!$E$4:$E$41,MATCH(D4,'Item Master'!$A$4:$A$41,0)),INDEX('Sub-Recipe'!$K$4:$K$200,MATCH(D4,'Sub-Recipe'!$A$4:$A$200,0)))</f>
        <v>82.5</v>
      </c>
      <c r="I4" s="26">
        <f>IFERROR(INDEX('Daily Sales'!$AK$5:$AK$30,MATCH($B4,'Daily Sales'!$A$5:$A$30,0)),0)</f>
        <v>91</v>
      </c>
      <c r="J4" s="17">
        <f t="shared" ref="J4:J11" si="0">G4*I4</f>
        <v>13.65</v>
      </c>
    </row>
    <row r="5" spans="1:10" x14ac:dyDescent="0.3">
      <c r="A5" s="16" t="s">
        <v>291</v>
      </c>
      <c r="B5" s="16" t="s">
        <v>197</v>
      </c>
      <c r="C5" s="16" t="s">
        <v>198</v>
      </c>
      <c r="D5" s="16" t="s">
        <v>292</v>
      </c>
      <c r="E5" s="16" t="s">
        <v>293</v>
      </c>
      <c r="F5" s="16" t="s">
        <v>117</v>
      </c>
      <c r="G5" s="24">
        <v>1</v>
      </c>
      <c r="H5" s="25">
        <f>G5*IFERROR(INDEX('Item Master'!$E$4:$E$41,MATCH(D5,'Item Master'!$A$4:$A$41,0)),INDEX('Sub-Recipe'!$K$4:$K$200,MATCH(D5,'Sub-Recipe'!$A$4:$A$200,0)))</f>
        <v>0</v>
      </c>
      <c r="I5" s="26">
        <f>IFERROR(INDEX('Daily Sales'!$AK$5:$AK$30,MATCH($B5,'Daily Sales'!$A$5:$A$30,0)),0)</f>
        <v>91</v>
      </c>
      <c r="J5" s="17">
        <f t="shared" si="0"/>
        <v>91</v>
      </c>
    </row>
    <row r="6" spans="1:10" x14ac:dyDescent="0.3">
      <c r="A6" s="16" t="s">
        <v>291</v>
      </c>
      <c r="B6" s="16" t="s">
        <v>197</v>
      </c>
      <c r="C6" s="16" t="s">
        <v>198</v>
      </c>
      <c r="D6" s="16" t="s">
        <v>107</v>
      </c>
      <c r="E6" s="16" t="s">
        <v>108</v>
      </c>
      <c r="F6" s="16" t="s">
        <v>102</v>
      </c>
      <c r="G6" s="24">
        <v>0.02</v>
      </c>
      <c r="H6" s="25">
        <f>G6*IFERROR(INDEX('Item Master'!$E$4:$E$41,MATCH(D6,'Item Master'!$A$4:$A$41,0)),INDEX('Sub-Recipe'!$K$4:$K$200,MATCH(D6,'Sub-Recipe'!$A$4:$A$200,0)))</f>
        <v>1.2</v>
      </c>
      <c r="I6" s="26">
        <f>IFERROR(INDEX('Daily Sales'!$AK$5:$AK$30,MATCH($B6,'Daily Sales'!$A$5:$A$30,0)),0)</f>
        <v>91</v>
      </c>
      <c r="J6" s="17">
        <f t="shared" si="0"/>
        <v>1.82</v>
      </c>
    </row>
    <row r="7" spans="1:10" x14ac:dyDescent="0.3">
      <c r="A7" s="16" t="s">
        <v>291</v>
      </c>
      <c r="B7" s="16" t="s">
        <v>197</v>
      </c>
      <c r="C7" s="16" t="s">
        <v>198</v>
      </c>
      <c r="D7" s="16" t="s">
        <v>110</v>
      </c>
      <c r="E7" s="16" t="s">
        <v>111</v>
      </c>
      <c r="F7" s="16" t="s">
        <v>102</v>
      </c>
      <c r="G7" s="24">
        <v>0.03</v>
      </c>
      <c r="H7" s="25">
        <f>G7*IFERROR(INDEX('Item Master'!$E$4:$E$41,MATCH(D7,'Item Master'!$A$4:$A$41,0)),INDEX('Sub-Recipe'!$K$4:$K$200,MATCH(D7,'Sub-Recipe'!$A$4:$A$200,0)))</f>
        <v>1.65</v>
      </c>
      <c r="I7" s="26">
        <f>IFERROR(INDEX('Daily Sales'!$AK$5:$AK$30,MATCH($B7,'Daily Sales'!$A$5:$A$30,0)),0)</f>
        <v>91</v>
      </c>
      <c r="J7" s="17">
        <f t="shared" si="0"/>
        <v>2.73</v>
      </c>
    </row>
    <row r="8" spans="1:10" x14ac:dyDescent="0.3">
      <c r="A8" s="16" t="s">
        <v>291</v>
      </c>
      <c r="B8" s="16" t="s">
        <v>197</v>
      </c>
      <c r="C8" s="16" t="s">
        <v>198</v>
      </c>
      <c r="D8" s="16" t="s">
        <v>112</v>
      </c>
      <c r="E8" s="16" t="s">
        <v>113</v>
      </c>
      <c r="F8" s="16" t="s">
        <v>102</v>
      </c>
      <c r="G8" s="24">
        <v>0.02</v>
      </c>
      <c r="H8" s="25">
        <f>G8*IFERROR(INDEX('Item Master'!$E$4:$E$41,MATCH(D8,'Item Master'!$A$4:$A$41,0)),INDEX('Sub-Recipe'!$K$4:$K$200,MATCH(D8,'Sub-Recipe'!$A$4:$A$200,0)))</f>
        <v>0.8</v>
      </c>
      <c r="I8" s="26">
        <f>IFERROR(INDEX('Daily Sales'!$AK$5:$AK$30,MATCH($B8,'Daily Sales'!$A$5:$A$30,0)),0)</f>
        <v>91</v>
      </c>
      <c r="J8" s="17">
        <f t="shared" si="0"/>
        <v>1.82</v>
      </c>
    </row>
    <row r="9" spans="1:10" x14ac:dyDescent="0.3">
      <c r="A9" s="16" t="s">
        <v>291</v>
      </c>
      <c r="B9" s="16" t="s">
        <v>197</v>
      </c>
      <c r="C9" s="16" t="s">
        <v>198</v>
      </c>
      <c r="D9" s="16" t="s">
        <v>114</v>
      </c>
      <c r="E9" s="16" t="s">
        <v>115</v>
      </c>
      <c r="F9" s="16" t="s">
        <v>117</v>
      </c>
      <c r="G9" s="24">
        <v>1</v>
      </c>
      <c r="H9" s="25">
        <f>G9*IFERROR(INDEX('Item Master'!$E$4:$E$41,MATCH(D9,'Item Master'!$A$4:$A$41,0)),INDEX('Sub-Recipe'!$K$4:$K$200,MATCH(D9,'Sub-Recipe'!$A$4:$A$200,0)))</f>
        <v>12</v>
      </c>
      <c r="I9" s="26">
        <f>IFERROR(INDEX('Daily Sales'!$AK$5:$AK$30,MATCH($B9,'Daily Sales'!$A$5:$A$30,0)),0)</f>
        <v>91</v>
      </c>
      <c r="J9" s="17">
        <f t="shared" si="0"/>
        <v>91</v>
      </c>
    </row>
    <row r="10" spans="1:10" x14ac:dyDescent="0.3">
      <c r="A10" s="16" t="s">
        <v>291</v>
      </c>
      <c r="B10" s="16" t="s">
        <v>197</v>
      </c>
      <c r="C10" s="16" t="s">
        <v>198</v>
      </c>
      <c r="D10" s="16" t="s">
        <v>129</v>
      </c>
      <c r="E10" s="16" t="s">
        <v>130</v>
      </c>
      <c r="F10" s="16" t="s">
        <v>102</v>
      </c>
      <c r="G10" s="24">
        <v>0.02</v>
      </c>
      <c r="H10" s="25">
        <f>G10*IFERROR(INDEX('Item Master'!$E$4:$E$41,MATCH(D10,'Item Master'!$A$4:$A$41,0)),INDEX('Sub-Recipe'!$K$4:$K$200,MATCH(D10,'Sub-Recipe'!$A$4:$A$200,0)))</f>
        <v>4.4000000000000004</v>
      </c>
      <c r="I10" s="26">
        <f>IFERROR(INDEX('Daily Sales'!$AK$5:$AK$30,MATCH($B10,'Daily Sales'!$A$5:$A$30,0)),0)</f>
        <v>91</v>
      </c>
      <c r="J10" s="17">
        <f t="shared" si="0"/>
        <v>1.82</v>
      </c>
    </row>
    <row r="11" spans="1:10" x14ac:dyDescent="0.3">
      <c r="A11" s="16" t="s">
        <v>291</v>
      </c>
      <c r="B11" s="16" t="s">
        <v>197</v>
      </c>
      <c r="C11" s="16" t="s">
        <v>198</v>
      </c>
      <c r="D11" s="16" t="s">
        <v>132</v>
      </c>
      <c r="E11" s="16" t="s">
        <v>133</v>
      </c>
      <c r="F11" s="16" t="s">
        <v>102</v>
      </c>
      <c r="G11" s="24">
        <v>0.02</v>
      </c>
      <c r="H11" s="25">
        <f>G11*IFERROR(INDEX('Item Master'!$E$4:$E$41,MATCH(D11,'Item Master'!$A$4:$A$41,0)),INDEX('Sub-Recipe'!$K$4:$K$200,MATCH(D11,'Sub-Recipe'!$A$4:$A$200,0)))</f>
        <v>3.6</v>
      </c>
      <c r="I11" s="26">
        <f>IFERROR(INDEX('Daily Sales'!$AK$5:$AK$30,MATCH($B11,'Daily Sales'!$A$5:$A$30,0)),0)</f>
        <v>91</v>
      </c>
      <c r="J11" s="17">
        <f t="shared" si="0"/>
        <v>1.82</v>
      </c>
    </row>
    <row r="12" spans="1:10" x14ac:dyDescent="0.3">
      <c r="A12" s="27" t="s">
        <v>291</v>
      </c>
      <c r="B12" s="27" t="s">
        <v>197</v>
      </c>
      <c r="C12" s="28" t="s">
        <v>294</v>
      </c>
      <c r="D12" s="28" t="s">
        <v>295</v>
      </c>
      <c r="E12" s="29"/>
      <c r="F12" s="29"/>
      <c r="G12" s="29"/>
      <c r="H12" s="30">
        <f>SUM(H4:H11)</f>
        <v>106.15</v>
      </c>
      <c r="I12" s="31"/>
      <c r="J12" s="31"/>
    </row>
    <row r="13" spans="1:10" x14ac:dyDescent="0.3">
      <c r="A13" s="31"/>
      <c r="B13" s="31"/>
      <c r="C13" s="31"/>
      <c r="D13" s="31"/>
      <c r="E13" s="31"/>
      <c r="F13" s="31"/>
      <c r="G13" s="31"/>
      <c r="H13" s="31"/>
      <c r="I13" s="31"/>
      <c r="J13" s="31"/>
    </row>
    <row r="14" spans="1:10" x14ac:dyDescent="0.3">
      <c r="A14" s="16" t="s">
        <v>296</v>
      </c>
      <c r="B14" s="16" t="s">
        <v>203</v>
      </c>
      <c r="C14" s="16" t="s">
        <v>204</v>
      </c>
      <c r="D14" s="16" t="s">
        <v>99</v>
      </c>
      <c r="E14" s="16" t="s">
        <v>100</v>
      </c>
      <c r="F14" s="16" t="s">
        <v>102</v>
      </c>
      <c r="G14" s="24">
        <v>0.3</v>
      </c>
      <c r="H14" s="25">
        <f>G14*IFERROR(INDEX('Item Master'!$E$4:$E$41,MATCH(D14,'Item Master'!$A$4:$A$41,0)),INDEX('Sub-Recipe'!$K$4:$K$200,MATCH(D14,'Sub-Recipe'!$A$4:$A$200,0)))</f>
        <v>165</v>
      </c>
      <c r="I14" s="26">
        <f>IFERROR(INDEX('Daily Sales'!$AK$5:$AK$30,MATCH($B14,'Daily Sales'!$A$5:$A$30,0)),0)</f>
        <v>41</v>
      </c>
      <c r="J14" s="17">
        <f t="shared" ref="J14:J21" si="1">G14*I14</f>
        <v>12.299999999999999</v>
      </c>
    </row>
    <row r="15" spans="1:10" x14ac:dyDescent="0.3">
      <c r="A15" s="16" t="s">
        <v>296</v>
      </c>
      <c r="B15" s="16" t="s">
        <v>203</v>
      </c>
      <c r="C15" s="16" t="s">
        <v>204</v>
      </c>
      <c r="D15" s="16" t="s">
        <v>292</v>
      </c>
      <c r="E15" s="16" t="s">
        <v>293</v>
      </c>
      <c r="F15" s="16" t="s">
        <v>117</v>
      </c>
      <c r="G15" s="24">
        <v>1</v>
      </c>
      <c r="H15" s="25">
        <f>G15*IFERROR(INDEX('Item Master'!$E$4:$E$41,MATCH(D15,'Item Master'!$A$4:$A$41,0)),INDEX('Sub-Recipe'!$K$4:$K$200,MATCH(D15,'Sub-Recipe'!$A$4:$A$200,0)))</f>
        <v>0</v>
      </c>
      <c r="I15" s="26">
        <f>IFERROR(INDEX('Daily Sales'!$AK$5:$AK$30,MATCH($B15,'Daily Sales'!$A$5:$A$30,0)),0)</f>
        <v>41</v>
      </c>
      <c r="J15" s="17">
        <f t="shared" si="1"/>
        <v>41</v>
      </c>
    </row>
    <row r="16" spans="1:10" x14ac:dyDescent="0.3">
      <c r="A16" s="16" t="s">
        <v>296</v>
      </c>
      <c r="B16" s="16" t="s">
        <v>203</v>
      </c>
      <c r="C16" s="16" t="s">
        <v>204</v>
      </c>
      <c r="D16" s="16" t="s">
        <v>107</v>
      </c>
      <c r="E16" s="16" t="s">
        <v>108</v>
      </c>
      <c r="F16" s="16" t="s">
        <v>102</v>
      </c>
      <c r="G16" s="24">
        <v>0.02</v>
      </c>
      <c r="H16" s="25">
        <f>G16*IFERROR(INDEX('Item Master'!$E$4:$E$41,MATCH(D16,'Item Master'!$A$4:$A$41,0)),INDEX('Sub-Recipe'!$K$4:$K$200,MATCH(D16,'Sub-Recipe'!$A$4:$A$200,0)))</f>
        <v>1.2</v>
      </c>
      <c r="I16" s="26">
        <f>IFERROR(INDEX('Daily Sales'!$AK$5:$AK$30,MATCH($B16,'Daily Sales'!$A$5:$A$30,0)),0)</f>
        <v>41</v>
      </c>
      <c r="J16" s="17">
        <f t="shared" si="1"/>
        <v>0.82000000000000006</v>
      </c>
    </row>
    <row r="17" spans="1:10" x14ac:dyDescent="0.3">
      <c r="A17" s="16" t="s">
        <v>296</v>
      </c>
      <c r="B17" s="16" t="s">
        <v>203</v>
      </c>
      <c r="C17" s="16" t="s">
        <v>204</v>
      </c>
      <c r="D17" s="16" t="s">
        <v>110</v>
      </c>
      <c r="E17" s="16" t="s">
        <v>111</v>
      </c>
      <c r="F17" s="16" t="s">
        <v>102</v>
      </c>
      <c r="G17" s="24">
        <v>0.03</v>
      </c>
      <c r="H17" s="25">
        <f>G17*IFERROR(INDEX('Item Master'!$E$4:$E$41,MATCH(D17,'Item Master'!$A$4:$A$41,0)),INDEX('Sub-Recipe'!$K$4:$K$200,MATCH(D17,'Sub-Recipe'!$A$4:$A$200,0)))</f>
        <v>1.65</v>
      </c>
      <c r="I17" s="26">
        <f>IFERROR(INDEX('Daily Sales'!$AK$5:$AK$30,MATCH($B17,'Daily Sales'!$A$5:$A$30,0)),0)</f>
        <v>41</v>
      </c>
      <c r="J17" s="17">
        <f t="shared" si="1"/>
        <v>1.23</v>
      </c>
    </row>
    <row r="18" spans="1:10" x14ac:dyDescent="0.3">
      <c r="A18" s="16" t="s">
        <v>296</v>
      </c>
      <c r="B18" s="16" t="s">
        <v>203</v>
      </c>
      <c r="C18" s="16" t="s">
        <v>204</v>
      </c>
      <c r="D18" s="16" t="s">
        <v>112</v>
      </c>
      <c r="E18" s="16" t="s">
        <v>113</v>
      </c>
      <c r="F18" s="16" t="s">
        <v>102</v>
      </c>
      <c r="G18" s="24">
        <v>0.02</v>
      </c>
      <c r="H18" s="25">
        <f>G18*IFERROR(INDEX('Item Master'!$E$4:$E$41,MATCH(D18,'Item Master'!$A$4:$A$41,0)),INDEX('Sub-Recipe'!$K$4:$K$200,MATCH(D18,'Sub-Recipe'!$A$4:$A$200,0)))</f>
        <v>0.8</v>
      </c>
      <c r="I18" s="26">
        <f>IFERROR(INDEX('Daily Sales'!$AK$5:$AK$30,MATCH($B18,'Daily Sales'!$A$5:$A$30,0)),0)</f>
        <v>41</v>
      </c>
      <c r="J18" s="17">
        <f t="shared" si="1"/>
        <v>0.82000000000000006</v>
      </c>
    </row>
    <row r="19" spans="1:10" x14ac:dyDescent="0.3">
      <c r="A19" s="16" t="s">
        <v>296</v>
      </c>
      <c r="B19" s="16" t="s">
        <v>203</v>
      </c>
      <c r="C19" s="16" t="s">
        <v>204</v>
      </c>
      <c r="D19" s="16" t="s">
        <v>114</v>
      </c>
      <c r="E19" s="16" t="s">
        <v>115</v>
      </c>
      <c r="F19" s="16" t="s">
        <v>117</v>
      </c>
      <c r="G19" s="24">
        <v>2</v>
      </c>
      <c r="H19" s="25">
        <f>G19*IFERROR(INDEX('Item Master'!$E$4:$E$41,MATCH(D19,'Item Master'!$A$4:$A$41,0)),INDEX('Sub-Recipe'!$K$4:$K$200,MATCH(D19,'Sub-Recipe'!$A$4:$A$200,0)))</f>
        <v>24</v>
      </c>
      <c r="I19" s="26">
        <f>IFERROR(INDEX('Daily Sales'!$AK$5:$AK$30,MATCH($B19,'Daily Sales'!$A$5:$A$30,0)),0)</f>
        <v>41</v>
      </c>
      <c r="J19" s="17">
        <f t="shared" si="1"/>
        <v>82</v>
      </c>
    </row>
    <row r="20" spans="1:10" x14ac:dyDescent="0.3">
      <c r="A20" s="16" t="s">
        <v>296</v>
      </c>
      <c r="B20" s="16" t="s">
        <v>203</v>
      </c>
      <c r="C20" s="16" t="s">
        <v>204</v>
      </c>
      <c r="D20" s="16" t="s">
        <v>129</v>
      </c>
      <c r="E20" s="16" t="s">
        <v>130</v>
      </c>
      <c r="F20" s="16" t="s">
        <v>102</v>
      </c>
      <c r="G20" s="24">
        <v>0.02</v>
      </c>
      <c r="H20" s="25">
        <f>G20*IFERROR(INDEX('Item Master'!$E$4:$E$41,MATCH(D20,'Item Master'!$A$4:$A$41,0)),INDEX('Sub-Recipe'!$K$4:$K$200,MATCH(D20,'Sub-Recipe'!$A$4:$A$200,0)))</f>
        <v>4.4000000000000004</v>
      </c>
      <c r="I20" s="26">
        <f>IFERROR(INDEX('Daily Sales'!$AK$5:$AK$30,MATCH($B20,'Daily Sales'!$A$5:$A$30,0)),0)</f>
        <v>41</v>
      </c>
      <c r="J20" s="17">
        <f t="shared" si="1"/>
        <v>0.82000000000000006</v>
      </c>
    </row>
    <row r="21" spans="1:10" x14ac:dyDescent="0.3">
      <c r="A21" s="16" t="s">
        <v>296</v>
      </c>
      <c r="B21" s="16" t="s">
        <v>203</v>
      </c>
      <c r="C21" s="16" t="s">
        <v>204</v>
      </c>
      <c r="D21" s="16" t="s">
        <v>132</v>
      </c>
      <c r="E21" s="16" t="s">
        <v>133</v>
      </c>
      <c r="F21" s="16" t="s">
        <v>102</v>
      </c>
      <c r="G21" s="24">
        <v>0.02</v>
      </c>
      <c r="H21" s="25">
        <f>G21*IFERROR(INDEX('Item Master'!$E$4:$E$41,MATCH(D21,'Item Master'!$A$4:$A$41,0)),INDEX('Sub-Recipe'!$K$4:$K$200,MATCH(D21,'Sub-Recipe'!$A$4:$A$200,0)))</f>
        <v>3.6</v>
      </c>
      <c r="I21" s="26">
        <f>IFERROR(INDEX('Daily Sales'!$AK$5:$AK$30,MATCH($B21,'Daily Sales'!$A$5:$A$30,0)),0)</f>
        <v>41</v>
      </c>
      <c r="J21" s="17">
        <f t="shared" si="1"/>
        <v>0.82000000000000006</v>
      </c>
    </row>
    <row r="22" spans="1:10" x14ac:dyDescent="0.3">
      <c r="A22" s="27" t="s">
        <v>296</v>
      </c>
      <c r="B22" s="27" t="s">
        <v>203</v>
      </c>
      <c r="C22" s="28" t="s">
        <v>297</v>
      </c>
      <c r="D22" s="28" t="s">
        <v>295</v>
      </c>
      <c r="E22" s="29"/>
      <c r="F22" s="29"/>
      <c r="G22" s="29"/>
      <c r="H22" s="30">
        <f>SUM(H14:H21)</f>
        <v>200.65</v>
      </c>
      <c r="I22" s="31"/>
      <c r="J22" s="31"/>
    </row>
    <row r="23" spans="1:10" x14ac:dyDescent="0.3">
      <c r="A23" s="31"/>
      <c r="B23" s="31"/>
      <c r="C23" s="31"/>
      <c r="D23" s="31"/>
      <c r="E23" s="31"/>
      <c r="F23" s="31"/>
      <c r="G23" s="31"/>
      <c r="H23" s="31"/>
      <c r="I23" s="31"/>
      <c r="J23" s="31"/>
    </row>
    <row r="24" spans="1:10" x14ac:dyDescent="0.3">
      <c r="A24" s="16" t="s">
        <v>298</v>
      </c>
      <c r="B24" s="16" t="s">
        <v>206</v>
      </c>
      <c r="C24" s="16" t="s">
        <v>207</v>
      </c>
      <c r="D24" s="16" t="s">
        <v>103</v>
      </c>
      <c r="E24" s="16" t="s">
        <v>104</v>
      </c>
      <c r="F24" s="16" t="s">
        <v>102</v>
      </c>
      <c r="G24" s="24">
        <v>0.15</v>
      </c>
      <c r="H24" s="25">
        <f>G24*IFERROR(INDEX('Item Master'!$E$4:$E$41,MATCH(D24,'Item Master'!$A$4:$A$41,0)),INDEX('Sub-Recipe'!$K$4:$K$200,MATCH(D24,'Sub-Recipe'!$A$4:$A$200,0)))</f>
        <v>72</v>
      </c>
      <c r="I24" s="26">
        <f>IFERROR(INDEX('Daily Sales'!$AK$5:$AK$30,MATCH($B24,'Daily Sales'!$A$5:$A$30,0)),0)</f>
        <v>51</v>
      </c>
      <c r="J24" s="17">
        <f>G24*I24</f>
        <v>7.6499999999999995</v>
      </c>
    </row>
    <row r="25" spans="1:10" x14ac:dyDescent="0.3">
      <c r="A25" s="16" t="s">
        <v>298</v>
      </c>
      <c r="B25" s="16" t="s">
        <v>206</v>
      </c>
      <c r="C25" s="16" t="s">
        <v>207</v>
      </c>
      <c r="D25" s="16" t="s">
        <v>127</v>
      </c>
      <c r="E25" s="16" t="s">
        <v>128</v>
      </c>
      <c r="F25" s="16" t="s">
        <v>117</v>
      </c>
      <c r="G25" s="24">
        <v>1</v>
      </c>
      <c r="H25" s="25">
        <f>G25*IFERROR(INDEX('Item Master'!$E$4:$E$41,MATCH(D25,'Item Master'!$A$4:$A$41,0)),INDEX('Sub-Recipe'!$K$4:$K$200,MATCH(D25,'Sub-Recipe'!$A$4:$A$200,0)))</f>
        <v>15</v>
      </c>
      <c r="I25" s="26">
        <f>IFERROR(INDEX('Daily Sales'!$AK$5:$AK$30,MATCH($B25,'Daily Sales'!$A$5:$A$30,0)),0)</f>
        <v>51</v>
      </c>
      <c r="J25" s="17">
        <f>G25*I25</f>
        <v>51</v>
      </c>
    </row>
    <row r="26" spans="1:10" x14ac:dyDescent="0.3">
      <c r="A26" s="16" t="s">
        <v>298</v>
      </c>
      <c r="B26" s="16" t="s">
        <v>206</v>
      </c>
      <c r="C26" s="16" t="s">
        <v>207</v>
      </c>
      <c r="D26" s="16" t="s">
        <v>107</v>
      </c>
      <c r="E26" s="16" t="s">
        <v>108</v>
      </c>
      <c r="F26" s="16" t="s">
        <v>102</v>
      </c>
      <c r="G26" s="24">
        <v>0.03</v>
      </c>
      <c r="H26" s="25">
        <f>G26*IFERROR(INDEX('Item Master'!$E$4:$E$41,MATCH(D26,'Item Master'!$A$4:$A$41,0)),INDEX('Sub-Recipe'!$K$4:$K$200,MATCH(D26,'Sub-Recipe'!$A$4:$A$200,0)))</f>
        <v>1.7999999999999998</v>
      </c>
      <c r="I26" s="26">
        <f>IFERROR(INDEX('Daily Sales'!$AK$5:$AK$30,MATCH($B26,'Daily Sales'!$A$5:$A$30,0)),0)</f>
        <v>51</v>
      </c>
      <c r="J26" s="17">
        <f>G26*I26</f>
        <v>1.53</v>
      </c>
    </row>
    <row r="27" spans="1:10" ht="27" x14ac:dyDescent="0.3">
      <c r="A27" s="16" t="s">
        <v>298</v>
      </c>
      <c r="B27" s="16" t="s">
        <v>206</v>
      </c>
      <c r="C27" s="16" t="s">
        <v>207</v>
      </c>
      <c r="D27" s="16" t="s">
        <v>299</v>
      </c>
      <c r="E27" s="16" t="s">
        <v>300</v>
      </c>
      <c r="F27" s="76" t="s">
        <v>301</v>
      </c>
      <c r="G27" s="24">
        <v>1</v>
      </c>
      <c r="H27" s="25">
        <f>G27*IFERROR(INDEX('Item Master'!$E$4:$E$41,MATCH(D27,'Item Master'!$A$4:$A$41,0)),INDEX('Sub-Recipe'!$K$4:$K$200,MATCH(D27,'Sub-Recipe'!$A$4:$A$200,0)))</f>
        <v>0</v>
      </c>
      <c r="I27" s="26">
        <f>IFERROR(INDEX('Daily Sales'!$AK$5:$AK$30,MATCH($B27,'Daily Sales'!$A$5:$A$30,0)),0)</f>
        <v>51</v>
      </c>
      <c r="J27" s="17">
        <f>G27*I27</f>
        <v>51</v>
      </c>
    </row>
    <row r="28" spans="1:10" x14ac:dyDescent="0.3">
      <c r="A28" s="16" t="s">
        <v>298</v>
      </c>
      <c r="B28" s="16" t="s">
        <v>206</v>
      </c>
      <c r="C28" s="16" t="s">
        <v>207</v>
      </c>
      <c r="D28" s="16" t="s">
        <v>134</v>
      </c>
      <c r="E28" s="16" t="s">
        <v>135</v>
      </c>
      <c r="F28" s="16" t="s">
        <v>102</v>
      </c>
      <c r="G28" s="24">
        <v>0.03</v>
      </c>
      <c r="H28" s="25">
        <f>G28*IFERROR(INDEX('Item Master'!$E$4:$E$41,MATCH(D28,'Item Master'!$A$4:$A$41,0)),INDEX('Sub-Recipe'!$K$4:$K$200,MATCH(D28,'Sub-Recipe'!$A$4:$A$200,0)))</f>
        <v>18.599999999999998</v>
      </c>
      <c r="I28" s="26">
        <f>IFERROR(INDEX('Daily Sales'!$AK$5:$AK$30,MATCH($B28,'Daily Sales'!$A$5:$A$30,0)),0)</f>
        <v>51</v>
      </c>
      <c r="J28" s="17">
        <f>G28*I28</f>
        <v>1.53</v>
      </c>
    </row>
    <row r="29" spans="1:10" x14ac:dyDescent="0.3">
      <c r="A29" s="27" t="s">
        <v>298</v>
      </c>
      <c r="B29" s="27" t="s">
        <v>206</v>
      </c>
      <c r="C29" s="28" t="s">
        <v>302</v>
      </c>
      <c r="D29" s="28" t="s">
        <v>295</v>
      </c>
      <c r="E29" s="29"/>
      <c r="F29" s="29"/>
      <c r="G29" s="29"/>
      <c r="H29" s="30">
        <f>SUM(H24:H28)</f>
        <v>107.39999999999999</v>
      </c>
      <c r="I29" s="31"/>
      <c r="J29" s="31"/>
    </row>
    <row r="30" spans="1:10" x14ac:dyDescent="0.3">
      <c r="A30" s="31"/>
      <c r="B30" s="31"/>
      <c r="C30" s="31"/>
      <c r="D30" s="31"/>
      <c r="E30" s="31"/>
      <c r="F30" s="31"/>
      <c r="G30" s="31"/>
      <c r="H30" s="31"/>
      <c r="I30" s="31"/>
      <c r="J30" s="31"/>
    </row>
    <row r="31" spans="1:10" x14ac:dyDescent="0.3">
      <c r="A31" s="16" t="s">
        <v>303</v>
      </c>
      <c r="B31" s="16" t="s">
        <v>209</v>
      </c>
      <c r="C31" s="16" t="s">
        <v>210</v>
      </c>
      <c r="D31" s="16" t="s">
        <v>103</v>
      </c>
      <c r="E31" s="16" t="s">
        <v>104</v>
      </c>
      <c r="F31" s="16" t="s">
        <v>102</v>
      </c>
      <c r="G31" s="24">
        <v>0.15</v>
      </c>
      <c r="H31" s="25">
        <f>G31*IFERROR(INDEX('Item Master'!$E$4:$E$41,MATCH(D31,'Item Master'!$A$4:$A$41,0)),INDEX('Sub-Recipe'!$K$4:$K$200,MATCH(D31,'Sub-Recipe'!$A$4:$A$200,0)))</f>
        <v>72</v>
      </c>
      <c r="I31" s="26">
        <f>IFERROR(INDEX('Daily Sales'!$AK$5:$AK$30,MATCH($B31,'Daily Sales'!$A$5:$A$30,0)),0)</f>
        <v>58</v>
      </c>
      <c r="J31" s="17">
        <f t="shared" ref="J31:J36" si="2">G31*I31</f>
        <v>8.6999999999999993</v>
      </c>
    </row>
    <row r="32" spans="1:10" x14ac:dyDescent="0.3">
      <c r="A32" s="16" t="s">
        <v>303</v>
      </c>
      <c r="B32" s="16" t="s">
        <v>209</v>
      </c>
      <c r="C32" s="16" t="s">
        <v>210</v>
      </c>
      <c r="D32" s="16" t="s">
        <v>127</v>
      </c>
      <c r="E32" s="16" t="s">
        <v>128</v>
      </c>
      <c r="F32" s="16" t="s">
        <v>117</v>
      </c>
      <c r="G32" s="24">
        <v>1</v>
      </c>
      <c r="H32" s="25">
        <f>G32*IFERROR(INDEX('Item Master'!$E$4:$E$41,MATCH(D32,'Item Master'!$A$4:$A$41,0)),INDEX('Sub-Recipe'!$K$4:$K$200,MATCH(D32,'Sub-Recipe'!$A$4:$A$200,0)))</f>
        <v>15</v>
      </c>
      <c r="I32" s="26">
        <f>IFERROR(INDEX('Daily Sales'!$AK$5:$AK$30,MATCH($B32,'Daily Sales'!$A$5:$A$30,0)),0)</f>
        <v>58</v>
      </c>
      <c r="J32" s="17">
        <f t="shared" si="2"/>
        <v>58</v>
      </c>
    </row>
    <row r="33" spans="1:10" x14ac:dyDescent="0.3">
      <c r="A33" s="16" t="s">
        <v>303</v>
      </c>
      <c r="B33" s="16" t="s">
        <v>209</v>
      </c>
      <c r="C33" s="16" t="s">
        <v>210</v>
      </c>
      <c r="D33" s="16" t="s">
        <v>107</v>
      </c>
      <c r="E33" s="16" t="s">
        <v>108</v>
      </c>
      <c r="F33" s="16" t="s">
        <v>102</v>
      </c>
      <c r="G33" s="24">
        <v>0.03</v>
      </c>
      <c r="H33" s="25">
        <f>G33*IFERROR(INDEX('Item Master'!$E$4:$E$41,MATCH(D33,'Item Master'!$A$4:$A$41,0)),INDEX('Sub-Recipe'!$K$4:$K$200,MATCH(D33,'Sub-Recipe'!$A$4:$A$200,0)))</f>
        <v>1.7999999999999998</v>
      </c>
      <c r="I33" s="26">
        <f>IFERROR(INDEX('Daily Sales'!$AK$5:$AK$30,MATCH($B33,'Daily Sales'!$A$5:$A$30,0)),0)</f>
        <v>58</v>
      </c>
      <c r="J33" s="17">
        <f t="shared" si="2"/>
        <v>1.74</v>
      </c>
    </row>
    <row r="34" spans="1:10" x14ac:dyDescent="0.3">
      <c r="A34" s="16" t="s">
        <v>303</v>
      </c>
      <c r="B34" s="16" t="s">
        <v>209</v>
      </c>
      <c r="C34" s="16" t="s">
        <v>210</v>
      </c>
      <c r="D34" s="16" t="s">
        <v>129</v>
      </c>
      <c r="E34" s="16" t="s">
        <v>130</v>
      </c>
      <c r="F34" s="16" t="s">
        <v>102</v>
      </c>
      <c r="G34" s="24">
        <v>0.03</v>
      </c>
      <c r="H34" s="25">
        <f>G34*IFERROR(INDEX('Item Master'!$E$4:$E$41,MATCH(D34,'Item Master'!$A$4:$A$41,0)),INDEX('Sub-Recipe'!$K$4:$K$200,MATCH(D34,'Sub-Recipe'!$A$4:$A$200,0)))</f>
        <v>6.6</v>
      </c>
      <c r="I34" s="26">
        <f>IFERROR(INDEX('Daily Sales'!$AK$5:$AK$30,MATCH($B34,'Daily Sales'!$A$5:$A$30,0)),0)</f>
        <v>58</v>
      </c>
      <c r="J34" s="17">
        <f t="shared" si="2"/>
        <v>1.74</v>
      </c>
    </row>
    <row r="35" spans="1:10" x14ac:dyDescent="0.3">
      <c r="A35" s="16" t="s">
        <v>303</v>
      </c>
      <c r="B35" s="16" t="s">
        <v>209</v>
      </c>
      <c r="C35" s="16" t="s">
        <v>210</v>
      </c>
      <c r="D35" s="16" t="s">
        <v>112</v>
      </c>
      <c r="E35" s="16" t="s">
        <v>113</v>
      </c>
      <c r="F35" s="16" t="s">
        <v>102</v>
      </c>
      <c r="G35" s="24">
        <v>0.02</v>
      </c>
      <c r="H35" s="25">
        <f>G35*IFERROR(INDEX('Item Master'!$E$4:$E$41,MATCH(D35,'Item Master'!$A$4:$A$41,0)),INDEX('Sub-Recipe'!$K$4:$K$200,MATCH(D35,'Sub-Recipe'!$A$4:$A$200,0)))</f>
        <v>0.8</v>
      </c>
      <c r="I35" s="26">
        <f>IFERROR(INDEX('Daily Sales'!$AK$5:$AK$30,MATCH($B35,'Daily Sales'!$A$5:$A$30,0)),0)</f>
        <v>58</v>
      </c>
      <c r="J35" s="17">
        <f t="shared" si="2"/>
        <v>1.1599999999999999</v>
      </c>
    </row>
    <row r="36" spans="1:10" x14ac:dyDescent="0.3">
      <c r="A36" s="16" t="s">
        <v>303</v>
      </c>
      <c r="B36" s="16" t="s">
        <v>209</v>
      </c>
      <c r="C36" s="16" t="s">
        <v>210</v>
      </c>
      <c r="D36" s="16" t="s">
        <v>183</v>
      </c>
      <c r="E36" s="16" t="s">
        <v>184</v>
      </c>
      <c r="F36" s="16" t="s">
        <v>147</v>
      </c>
      <c r="G36" s="24">
        <v>0.05</v>
      </c>
      <c r="H36" s="25">
        <f>G36*IFERROR(INDEX('Item Master'!$E$4:$E$41,MATCH(D36,'Item Master'!$A$4:$A$41,0)),INDEX('Sub-Recipe'!$K$4:$K$200,MATCH(D36,'Sub-Recipe'!$A$4:$A$200,0)))</f>
        <v>7.5</v>
      </c>
      <c r="I36" s="26">
        <f>IFERROR(INDEX('Daily Sales'!$AK$5:$AK$30,MATCH($B36,'Daily Sales'!$A$5:$A$30,0)),0)</f>
        <v>58</v>
      </c>
      <c r="J36" s="17">
        <f t="shared" si="2"/>
        <v>2.9000000000000004</v>
      </c>
    </row>
    <row r="37" spans="1:10" x14ac:dyDescent="0.3">
      <c r="A37" s="27" t="s">
        <v>303</v>
      </c>
      <c r="B37" s="27" t="s">
        <v>209</v>
      </c>
      <c r="C37" s="28" t="s">
        <v>304</v>
      </c>
      <c r="D37" s="28" t="s">
        <v>295</v>
      </c>
      <c r="E37" s="29"/>
      <c r="F37" s="29"/>
      <c r="G37" s="29"/>
      <c r="H37" s="30">
        <f>SUM(H31:H36)</f>
        <v>103.69999999999999</v>
      </c>
      <c r="I37" s="31"/>
      <c r="J37" s="31"/>
    </row>
    <row r="38" spans="1:10" x14ac:dyDescent="0.3">
      <c r="A38" s="31"/>
      <c r="B38" s="31"/>
      <c r="C38" s="31"/>
      <c r="D38" s="31"/>
      <c r="E38" s="31"/>
      <c r="F38" s="31"/>
      <c r="G38" s="31"/>
      <c r="H38" s="31"/>
      <c r="I38" s="31"/>
      <c r="J38" s="31"/>
    </row>
    <row r="39" spans="1:10" x14ac:dyDescent="0.3">
      <c r="A39" s="16" t="s">
        <v>305</v>
      </c>
      <c r="B39" s="16" t="s">
        <v>212</v>
      </c>
      <c r="C39" s="16" t="s">
        <v>213</v>
      </c>
      <c r="D39" s="16" t="s">
        <v>306</v>
      </c>
      <c r="E39" s="16" t="s">
        <v>307</v>
      </c>
      <c r="F39" s="16" t="s">
        <v>308</v>
      </c>
      <c r="G39" s="24">
        <v>3</v>
      </c>
      <c r="H39" s="25">
        <f>G39*IFERROR(INDEX('Item Master'!$E$4:$E$41,MATCH(D39,'Item Master'!$A$4:$A$41,0)),INDEX('Sub-Recipe'!$K$4:$K$200,MATCH(D39,'Sub-Recipe'!$A$4:$A$200,0)))</f>
        <v>0</v>
      </c>
      <c r="I39" s="26">
        <f>IFERROR(INDEX('Daily Sales'!$AK$5:$AK$30,MATCH($B39,'Daily Sales'!$A$5:$A$30,0)),0)</f>
        <v>50</v>
      </c>
      <c r="J39" s="17">
        <f t="shared" ref="J39:J45" si="3">G39*I39</f>
        <v>150</v>
      </c>
    </row>
    <row r="40" spans="1:10" x14ac:dyDescent="0.3">
      <c r="A40" s="16" t="s">
        <v>305</v>
      </c>
      <c r="B40" s="16" t="s">
        <v>212</v>
      </c>
      <c r="C40" s="16" t="s">
        <v>213</v>
      </c>
      <c r="D40" s="16" t="s">
        <v>103</v>
      </c>
      <c r="E40" s="16" t="s">
        <v>104</v>
      </c>
      <c r="F40" s="16" t="s">
        <v>102</v>
      </c>
      <c r="G40" s="24">
        <v>0.1</v>
      </c>
      <c r="H40" s="25">
        <f>G40*IFERROR(INDEX('Item Master'!$E$4:$E$41,MATCH(D40,'Item Master'!$A$4:$A$41,0)),INDEX('Sub-Recipe'!$K$4:$K$200,MATCH(D40,'Sub-Recipe'!$A$4:$A$200,0)))</f>
        <v>48</v>
      </c>
      <c r="I40" s="26">
        <f>IFERROR(INDEX('Daily Sales'!$AK$5:$AK$30,MATCH($B40,'Daily Sales'!$A$5:$A$30,0)),0)</f>
        <v>50</v>
      </c>
      <c r="J40" s="17">
        <f t="shared" si="3"/>
        <v>5</v>
      </c>
    </row>
    <row r="41" spans="1:10" x14ac:dyDescent="0.3">
      <c r="A41" s="16" t="s">
        <v>305</v>
      </c>
      <c r="B41" s="16" t="s">
        <v>212</v>
      </c>
      <c r="C41" s="16" t="s">
        <v>213</v>
      </c>
      <c r="D41" s="16" t="s">
        <v>105</v>
      </c>
      <c r="E41" s="16" t="s">
        <v>106</v>
      </c>
      <c r="F41" s="16" t="s">
        <v>102</v>
      </c>
      <c r="G41" s="24">
        <v>0.05</v>
      </c>
      <c r="H41" s="25">
        <f>G41*IFERROR(INDEX('Item Master'!$E$4:$E$41,MATCH(D41,'Item Master'!$A$4:$A$41,0)),INDEX('Sub-Recipe'!$K$4:$K$200,MATCH(D41,'Sub-Recipe'!$A$4:$A$200,0)))</f>
        <v>32.5</v>
      </c>
      <c r="I41" s="26">
        <f>IFERROR(INDEX('Daily Sales'!$AK$5:$AK$30,MATCH($B41,'Daily Sales'!$A$5:$A$30,0)),0)</f>
        <v>50</v>
      </c>
      <c r="J41" s="17">
        <f t="shared" si="3"/>
        <v>2.5</v>
      </c>
    </row>
    <row r="42" spans="1:10" x14ac:dyDescent="0.3">
      <c r="A42" s="16" t="s">
        <v>305</v>
      </c>
      <c r="B42" s="16" t="s">
        <v>212</v>
      </c>
      <c r="C42" s="16" t="s">
        <v>213</v>
      </c>
      <c r="D42" s="16" t="s">
        <v>107</v>
      </c>
      <c r="E42" s="16" t="s">
        <v>108</v>
      </c>
      <c r="F42" s="16" t="s">
        <v>102</v>
      </c>
      <c r="G42" s="24">
        <v>0.02</v>
      </c>
      <c r="H42" s="25">
        <f>G42*IFERROR(INDEX('Item Master'!$E$4:$E$41,MATCH(D42,'Item Master'!$A$4:$A$41,0)),INDEX('Sub-Recipe'!$K$4:$K$200,MATCH(D42,'Sub-Recipe'!$A$4:$A$200,0)))</f>
        <v>1.2</v>
      </c>
      <c r="I42" s="26">
        <f>IFERROR(INDEX('Daily Sales'!$AK$5:$AK$30,MATCH($B42,'Daily Sales'!$A$5:$A$30,0)),0)</f>
        <v>50</v>
      </c>
      <c r="J42" s="17">
        <f t="shared" si="3"/>
        <v>1</v>
      </c>
    </row>
    <row r="43" spans="1:10" x14ac:dyDescent="0.3">
      <c r="A43" s="16" t="s">
        <v>305</v>
      </c>
      <c r="B43" s="16" t="s">
        <v>212</v>
      </c>
      <c r="C43" s="16" t="s">
        <v>213</v>
      </c>
      <c r="D43" s="16" t="s">
        <v>110</v>
      </c>
      <c r="E43" s="16" t="s">
        <v>111</v>
      </c>
      <c r="F43" s="16" t="s">
        <v>102</v>
      </c>
      <c r="G43" s="24">
        <v>0.03</v>
      </c>
      <c r="H43" s="25">
        <f>G43*IFERROR(INDEX('Item Master'!$E$4:$E$41,MATCH(D43,'Item Master'!$A$4:$A$41,0)),INDEX('Sub-Recipe'!$K$4:$K$200,MATCH(D43,'Sub-Recipe'!$A$4:$A$200,0)))</f>
        <v>1.65</v>
      </c>
      <c r="I43" s="26">
        <f>IFERROR(INDEX('Daily Sales'!$AK$5:$AK$30,MATCH($B43,'Daily Sales'!$A$5:$A$30,0)),0)</f>
        <v>50</v>
      </c>
      <c r="J43" s="17">
        <f t="shared" si="3"/>
        <v>1.5</v>
      </c>
    </row>
    <row r="44" spans="1:10" x14ac:dyDescent="0.3">
      <c r="A44" s="16" t="s">
        <v>305</v>
      </c>
      <c r="B44" s="16" t="s">
        <v>212</v>
      </c>
      <c r="C44" s="16" t="s">
        <v>213</v>
      </c>
      <c r="D44" s="16" t="s">
        <v>114</v>
      </c>
      <c r="E44" s="16" t="s">
        <v>115</v>
      </c>
      <c r="F44" s="16" t="s">
        <v>117</v>
      </c>
      <c r="G44" s="24">
        <v>1</v>
      </c>
      <c r="H44" s="25">
        <f>G44*IFERROR(INDEX('Item Master'!$E$4:$E$41,MATCH(D44,'Item Master'!$A$4:$A$41,0)),INDEX('Sub-Recipe'!$K$4:$K$200,MATCH(D44,'Sub-Recipe'!$A$4:$A$200,0)))</f>
        <v>12</v>
      </c>
      <c r="I44" s="26">
        <f>IFERROR(INDEX('Daily Sales'!$AK$5:$AK$30,MATCH($B44,'Daily Sales'!$A$5:$A$30,0)),0)</f>
        <v>50</v>
      </c>
      <c r="J44" s="17">
        <f t="shared" si="3"/>
        <v>50</v>
      </c>
    </row>
    <row r="45" spans="1:10" x14ac:dyDescent="0.3">
      <c r="A45" s="16" t="s">
        <v>305</v>
      </c>
      <c r="B45" s="16" t="s">
        <v>212</v>
      </c>
      <c r="C45" s="16" t="s">
        <v>213</v>
      </c>
      <c r="D45" s="16" t="s">
        <v>129</v>
      </c>
      <c r="E45" s="16" t="s">
        <v>130</v>
      </c>
      <c r="F45" s="16" t="s">
        <v>102</v>
      </c>
      <c r="G45" s="24">
        <v>0.02</v>
      </c>
      <c r="H45" s="25">
        <f>G45*IFERROR(INDEX('Item Master'!$E$4:$E$41,MATCH(D45,'Item Master'!$A$4:$A$41,0)),INDEX('Sub-Recipe'!$K$4:$K$200,MATCH(D45,'Sub-Recipe'!$A$4:$A$200,0)))</f>
        <v>4.4000000000000004</v>
      </c>
      <c r="I45" s="26">
        <f>IFERROR(INDEX('Daily Sales'!$AK$5:$AK$30,MATCH($B45,'Daily Sales'!$A$5:$A$30,0)),0)</f>
        <v>50</v>
      </c>
      <c r="J45" s="17">
        <f t="shared" si="3"/>
        <v>1</v>
      </c>
    </row>
    <row r="46" spans="1:10" x14ac:dyDescent="0.3">
      <c r="A46" s="27" t="s">
        <v>305</v>
      </c>
      <c r="B46" s="27" t="s">
        <v>212</v>
      </c>
      <c r="C46" s="28" t="s">
        <v>309</v>
      </c>
      <c r="D46" s="28" t="s">
        <v>295</v>
      </c>
      <c r="E46" s="29"/>
      <c r="F46" s="29"/>
      <c r="G46" s="29"/>
      <c r="H46" s="30">
        <f>SUM(H39:H45)</f>
        <v>99.750000000000014</v>
      </c>
      <c r="I46" s="31"/>
      <c r="J46" s="31"/>
    </row>
    <row r="47" spans="1:10" x14ac:dyDescent="0.3">
      <c r="A47" s="31"/>
      <c r="B47" s="31"/>
      <c r="C47" s="31"/>
      <c r="D47" s="31"/>
      <c r="E47" s="31"/>
      <c r="F47" s="31"/>
      <c r="G47" s="31"/>
      <c r="H47" s="31"/>
      <c r="I47" s="31"/>
      <c r="J47" s="31"/>
    </row>
    <row r="48" spans="1:10" x14ac:dyDescent="0.3">
      <c r="A48" s="16" t="s">
        <v>310</v>
      </c>
      <c r="B48" s="16" t="s">
        <v>215</v>
      </c>
      <c r="C48" s="16" t="s">
        <v>216</v>
      </c>
      <c r="D48" s="16" t="s">
        <v>306</v>
      </c>
      <c r="E48" s="16" t="s">
        <v>307</v>
      </c>
      <c r="F48" s="16" t="s">
        <v>308</v>
      </c>
      <c r="G48" s="24">
        <v>2</v>
      </c>
      <c r="H48" s="25">
        <f>G48*IFERROR(INDEX('Item Master'!$E$4:$E$41,MATCH(D48,'Item Master'!$A$4:$A$41,0)),INDEX('Sub-Recipe'!$K$4:$K$200,MATCH(D48,'Sub-Recipe'!$A$4:$A$200,0)))</f>
        <v>0</v>
      </c>
      <c r="I48" s="26">
        <f>IFERROR(INDEX('Daily Sales'!$AK$5:$AK$30,MATCH($B48,'Daily Sales'!$A$5:$A$30,0)),0)</f>
        <v>51</v>
      </c>
      <c r="J48" s="17">
        <f>G48*I48</f>
        <v>102</v>
      </c>
    </row>
    <row r="49" spans="1:10" x14ac:dyDescent="0.3">
      <c r="A49" s="16" t="s">
        <v>310</v>
      </c>
      <c r="B49" s="16" t="s">
        <v>215</v>
      </c>
      <c r="C49" s="16" t="s">
        <v>216</v>
      </c>
      <c r="D49" s="16" t="s">
        <v>103</v>
      </c>
      <c r="E49" s="16" t="s">
        <v>104</v>
      </c>
      <c r="F49" s="16" t="s">
        <v>102</v>
      </c>
      <c r="G49" s="24">
        <v>0.12</v>
      </c>
      <c r="H49" s="25">
        <f>G49*IFERROR(INDEX('Item Master'!$E$4:$E$41,MATCH(D49,'Item Master'!$A$4:$A$41,0)),INDEX('Sub-Recipe'!$K$4:$K$200,MATCH(D49,'Sub-Recipe'!$A$4:$A$200,0)))</f>
        <v>57.599999999999994</v>
      </c>
      <c r="I49" s="26">
        <f>IFERROR(INDEX('Daily Sales'!$AK$5:$AK$30,MATCH($B49,'Daily Sales'!$A$5:$A$30,0)),0)</f>
        <v>51</v>
      </c>
      <c r="J49" s="17">
        <f>G49*I49</f>
        <v>6.12</v>
      </c>
    </row>
    <row r="50" spans="1:10" x14ac:dyDescent="0.3">
      <c r="A50" s="16" t="s">
        <v>310</v>
      </c>
      <c r="B50" s="16" t="s">
        <v>215</v>
      </c>
      <c r="C50" s="16" t="s">
        <v>216</v>
      </c>
      <c r="D50" s="16" t="s">
        <v>107</v>
      </c>
      <c r="E50" s="16" t="s">
        <v>108</v>
      </c>
      <c r="F50" s="16" t="s">
        <v>102</v>
      </c>
      <c r="G50" s="24">
        <v>0.02</v>
      </c>
      <c r="H50" s="25">
        <f>G50*IFERROR(INDEX('Item Master'!$E$4:$E$41,MATCH(D50,'Item Master'!$A$4:$A$41,0)),INDEX('Sub-Recipe'!$K$4:$K$200,MATCH(D50,'Sub-Recipe'!$A$4:$A$200,0)))</f>
        <v>1.2</v>
      </c>
      <c r="I50" s="26">
        <f>IFERROR(INDEX('Daily Sales'!$AK$5:$AK$30,MATCH($B50,'Daily Sales'!$A$5:$A$30,0)),0)</f>
        <v>51</v>
      </c>
      <c r="J50" s="17">
        <f>G50*I50</f>
        <v>1.02</v>
      </c>
    </row>
    <row r="51" spans="1:10" x14ac:dyDescent="0.3">
      <c r="A51" s="16" t="s">
        <v>310</v>
      </c>
      <c r="B51" s="16" t="s">
        <v>215</v>
      </c>
      <c r="C51" s="16" t="s">
        <v>216</v>
      </c>
      <c r="D51" s="16" t="s">
        <v>110</v>
      </c>
      <c r="E51" s="16" t="s">
        <v>111</v>
      </c>
      <c r="F51" s="16" t="s">
        <v>102</v>
      </c>
      <c r="G51" s="24">
        <v>0.02</v>
      </c>
      <c r="H51" s="25">
        <f>G51*IFERROR(INDEX('Item Master'!$E$4:$E$41,MATCH(D51,'Item Master'!$A$4:$A$41,0)),INDEX('Sub-Recipe'!$K$4:$K$200,MATCH(D51,'Sub-Recipe'!$A$4:$A$200,0)))</f>
        <v>1.1000000000000001</v>
      </c>
      <c r="I51" s="26">
        <f>IFERROR(INDEX('Daily Sales'!$AK$5:$AK$30,MATCH($B51,'Daily Sales'!$A$5:$A$30,0)),0)</f>
        <v>51</v>
      </c>
      <c r="J51" s="17">
        <f>G51*I51</f>
        <v>1.02</v>
      </c>
    </row>
    <row r="52" spans="1:10" x14ac:dyDescent="0.3">
      <c r="A52" s="16" t="s">
        <v>310</v>
      </c>
      <c r="B52" s="16" t="s">
        <v>215</v>
      </c>
      <c r="C52" s="16" t="s">
        <v>216</v>
      </c>
      <c r="D52" s="16" t="s">
        <v>129</v>
      </c>
      <c r="E52" s="16" t="s">
        <v>130</v>
      </c>
      <c r="F52" s="16" t="s">
        <v>102</v>
      </c>
      <c r="G52" s="24">
        <v>0.02</v>
      </c>
      <c r="H52" s="25">
        <f>G52*IFERROR(INDEX('Item Master'!$E$4:$E$41,MATCH(D52,'Item Master'!$A$4:$A$41,0)),INDEX('Sub-Recipe'!$K$4:$K$200,MATCH(D52,'Sub-Recipe'!$A$4:$A$200,0)))</f>
        <v>4.4000000000000004</v>
      </c>
      <c r="I52" s="26">
        <f>IFERROR(INDEX('Daily Sales'!$AK$5:$AK$30,MATCH($B52,'Daily Sales'!$A$5:$A$30,0)),0)</f>
        <v>51</v>
      </c>
      <c r="J52" s="17">
        <f>G52*I52</f>
        <v>1.02</v>
      </c>
    </row>
    <row r="53" spans="1:10" x14ac:dyDescent="0.3">
      <c r="A53" s="27" t="s">
        <v>310</v>
      </c>
      <c r="B53" s="27" t="s">
        <v>215</v>
      </c>
      <c r="C53" s="28" t="s">
        <v>311</v>
      </c>
      <c r="D53" s="28" t="s">
        <v>295</v>
      </c>
      <c r="E53" s="29"/>
      <c r="F53" s="29"/>
      <c r="G53" s="29"/>
      <c r="H53" s="30">
        <f>SUM(H48:H52)</f>
        <v>64.3</v>
      </c>
      <c r="I53" s="31"/>
      <c r="J53" s="31"/>
    </row>
    <row r="54" spans="1:10" x14ac:dyDescent="0.3">
      <c r="A54" s="31"/>
      <c r="B54" s="31"/>
      <c r="C54" s="31"/>
      <c r="D54" s="31"/>
      <c r="E54" s="31"/>
      <c r="F54" s="31"/>
      <c r="G54" s="31"/>
      <c r="H54" s="31"/>
      <c r="I54" s="31"/>
      <c r="J54" s="31"/>
    </row>
    <row r="55" spans="1:10" x14ac:dyDescent="0.3">
      <c r="A55" s="16" t="s">
        <v>312</v>
      </c>
      <c r="B55" s="16" t="s">
        <v>218</v>
      </c>
      <c r="C55" s="16" t="s">
        <v>219</v>
      </c>
      <c r="D55" s="16" t="s">
        <v>125</v>
      </c>
      <c r="E55" s="16" t="s">
        <v>126</v>
      </c>
      <c r="F55" s="16" t="s">
        <v>102</v>
      </c>
      <c r="G55" s="24">
        <v>0.2</v>
      </c>
      <c r="H55" s="25">
        <f>G55*IFERROR(INDEX('Item Master'!$E$4:$E$41,MATCH(D55,'Item Master'!$A$4:$A$41,0)),INDEX('Sub-Recipe'!$K$4:$K$200,MATCH(D55,'Sub-Recipe'!$A$4:$A$200,0)))</f>
        <v>24</v>
      </c>
      <c r="I55" s="26">
        <f>IFERROR(INDEX('Daily Sales'!$AK$5:$AK$30,MATCH($B55,'Daily Sales'!$A$5:$A$30,0)),0)</f>
        <v>66</v>
      </c>
      <c r="J55" s="17">
        <f>G55*I55</f>
        <v>13.200000000000001</v>
      </c>
    </row>
    <row r="56" spans="1:10" x14ac:dyDescent="0.3">
      <c r="A56" s="16" t="s">
        <v>312</v>
      </c>
      <c r="B56" s="16" t="s">
        <v>218</v>
      </c>
      <c r="C56" s="16" t="s">
        <v>219</v>
      </c>
      <c r="D56" s="16" t="s">
        <v>313</v>
      </c>
      <c r="E56" s="16" t="s">
        <v>314</v>
      </c>
      <c r="F56" s="16" t="s">
        <v>315</v>
      </c>
      <c r="G56" s="24">
        <v>1</v>
      </c>
      <c r="H56" s="25">
        <f>G56*IFERROR(INDEX('Item Master'!$E$4:$E$41,MATCH(D56,'Item Master'!$A$4:$A$41,0)),INDEX('Sub-Recipe'!$K$4:$K$200,MATCH(D56,'Sub-Recipe'!$A$4:$A$200,0)))</f>
        <v>0</v>
      </c>
      <c r="I56" s="26">
        <f>IFERROR(INDEX('Daily Sales'!$AK$5:$AK$30,MATCH($B56,'Daily Sales'!$A$5:$A$30,0)),0)</f>
        <v>66</v>
      </c>
      <c r="J56" s="17">
        <f>G56*I56</f>
        <v>66</v>
      </c>
    </row>
    <row r="57" spans="1:10" x14ac:dyDescent="0.3">
      <c r="A57" s="16" t="s">
        <v>312</v>
      </c>
      <c r="B57" s="16" t="s">
        <v>218</v>
      </c>
      <c r="C57" s="16" t="s">
        <v>219</v>
      </c>
      <c r="D57" s="16" t="s">
        <v>134</v>
      </c>
      <c r="E57" s="16" t="s">
        <v>135</v>
      </c>
      <c r="F57" s="16" t="s">
        <v>102</v>
      </c>
      <c r="G57" s="24">
        <v>0.02</v>
      </c>
      <c r="H57" s="25">
        <f>G57*IFERROR(INDEX('Item Master'!$E$4:$E$41,MATCH(D57,'Item Master'!$A$4:$A$41,0)),INDEX('Sub-Recipe'!$K$4:$K$200,MATCH(D57,'Sub-Recipe'!$A$4:$A$200,0)))</f>
        <v>12.4</v>
      </c>
      <c r="I57" s="26">
        <f>IFERROR(INDEX('Daily Sales'!$AK$5:$AK$30,MATCH($B57,'Daily Sales'!$A$5:$A$30,0)),0)</f>
        <v>66</v>
      </c>
      <c r="J57" s="17">
        <f>G57*I57</f>
        <v>1.32</v>
      </c>
    </row>
    <row r="58" spans="1:10" x14ac:dyDescent="0.3">
      <c r="A58" s="27" t="s">
        <v>312</v>
      </c>
      <c r="B58" s="27" t="s">
        <v>218</v>
      </c>
      <c r="C58" s="28" t="s">
        <v>316</v>
      </c>
      <c r="D58" s="28" t="s">
        <v>295</v>
      </c>
      <c r="E58" s="29"/>
      <c r="F58" s="29"/>
      <c r="G58" s="29"/>
      <c r="H58" s="30">
        <f>SUM(H55:H57)</f>
        <v>36.4</v>
      </c>
      <c r="I58" s="31"/>
      <c r="J58" s="31"/>
    </row>
    <row r="59" spans="1:10" x14ac:dyDescent="0.3">
      <c r="A59" s="31"/>
      <c r="B59" s="31"/>
      <c r="C59" s="31"/>
      <c r="D59" s="31"/>
      <c r="E59" s="31"/>
      <c r="F59" s="31"/>
      <c r="G59" s="31"/>
      <c r="H59" s="31"/>
      <c r="I59" s="31"/>
      <c r="J59" s="31"/>
    </row>
    <row r="60" spans="1:10" x14ac:dyDescent="0.3">
      <c r="A60" s="16" t="s">
        <v>317</v>
      </c>
      <c r="B60" s="16" t="s">
        <v>220</v>
      </c>
      <c r="C60" s="16" t="s">
        <v>221</v>
      </c>
      <c r="D60" s="16" t="s">
        <v>125</v>
      </c>
      <c r="E60" s="16" t="s">
        <v>126</v>
      </c>
      <c r="F60" s="16" t="s">
        <v>102</v>
      </c>
      <c r="G60" s="24">
        <v>0.2</v>
      </c>
      <c r="H60" s="25">
        <f>G60*IFERROR(INDEX('Item Master'!$E$4:$E$41,MATCH(D60,'Item Master'!$A$4:$A$41,0)),INDEX('Sub-Recipe'!$K$4:$K$200,MATCH(D60,'Sub-Recipe'!$A$4:$A$200,0)))</f>
        <v>24</v>
      </c>
      <c r="I60" s="26">
        <f>IFERROR(INDEX('Daily Sales'!$AK$5:$AK$30,MATCH($B60,'Daily Sales'!$A$5:$A$30,0)),0)</f>
        <v>48</v>
      </c>
      <c r="J60" s="17">
        <f>G60*I60</f>
        <v>9.6000000000000014</v>
      </c>
    </row>
    <row r="61" spans="1:10" ht="27" x14ac:dyDescent="0.3">
      <c r="A61" s="16" t="s">
        <v>317</v>
      </c>
      <c r="B61" s="16" t="s">
        <v>220</v>
      </c>
      <c r="C61" s="16" t="s">
        <v>221</v>
      </c>
      <c r="D61" s="16" t="s">
        <v>318</v>
      </c>
      <c r="E61" s="16" t="s">
        <v>319</v>
      </c>
      <c r="F61" s="76" t="s">
        <v>320</v>
      </c>
      <c r="G61" s="24">
        <v>1</v>
      </c>
      <c r="H61" s="25">
        <f>G61*IFERROR(INDEX('Item Master'!$E$4:$E$41,MATCH(D61,'Item Master'!$A$4:$A$41,0)),INDEX('Sub-Recipe'!$K$4:$K$200,MATCH(D61,'Sub-Recipe'!$A$4:$A$200,0)))</f>
        <v>0</v>
      </c>
      <c r="I61" s="26">
        <f>IFERROR(INDEX('Daily Sales'!$AK$5:$AK$30,MATCH($B61,'Daily Sales'!$A$5:$A$30,0)),0)</f>
        <v>48</v>
      </c>
      <c r="J61" s="17">
        <f>G61*I61</f>
        <v>48</v>
      </c>
    </row>
    <row r="62" spans="1:10" x14ac:dyDescent="0.3">
      <c r="A62" s="16" t="s">
        <v>317</v>
      </c>
      <c r="B62" s="16" t="s">
        <v>220</v>
      </c>
      <c r="C62" s="16" t="s">
        <v>221</v>
      </c>
      <c r="D62" s="16" t="s">
        <v>103</v>
      </c>
      <c r="E62" s="16" t="s">
        <v>104</v>
      </c>
      <c r="F62" s="16" t="s">
        <v>102</v>
      </c>
      <c r="G62" s="24">
        <v>0.08</v>
      </c>
      <c r="H62" s="25">
        <f>G62*IFERROR(INDEX('Item Master'!$E$4:$E$41,MATCH(D62,'Item Master'!$A$4:$A$41,0)),INDEX('Sub-Recipe'!$K$4:$K$200,MATCH(D62,'Sub-Recipe'!$A$4:$A$200,0)))</f>
        <v>38.4</v>
      </c>
      <c r="I62" s="26">
        <f>IFERROR(INDEX('Daily Sales'!$AK$5:$AK$30,MATCH($B62,'Daily Sales'!$A$5:$A$30,0)),0)</f>
        <v>48</v>
      </c>
      <c r="J62" s="17">
        <f>G62*I62</f>
        <v>3.84</v>
      </c>
    </row>
    <row r="63" spans="1:10" x14ac:dyDescent="0.3">
      <c r="A63" s="27" t="s">
        <v>317</v>
      </c>
      <c r="B63" s="27" t="s">
        <v>220</v>
      </c>
      <c r="C63" s="28" t="s">
        <v>321</v>
      </c>
      <c r="D63" s="28" t="s">
        <v>295</v>
      </c>
      <c r="E63" s="29"/>
      <c r="F63" s="29"/>
      <c r="G63" s="29"/>
      <c r="H63" s="30">
        <f>SUM(H60:H62)</f>
        <v>62.4</v>
      </c>
      <c r="I63" s="31"/>
      <c r="J63" s="31"/>
    </row>
    <row r="64" spans="1:10" x14ac:dyDescent="0.3">
      <c r="A64" s="31"/>
      <c r="B64" s="31"/>
      <c r="C64" s="31"/>
      <c r="D64" s="31"/>
      <c r="E64" s="31"/>
      <c r="F64" s="31"/>
      <c r="G64" s="31"/>
      <c r="H64" s="31"/>
      <c r="I64" s="31"/>
      <c r="J64" s="31"/>
    </row>
    <row r="65" spans="1:10" x14ac:dyDescent="0.3">
      <c r="A65" s="16" t="s">
        <v>322</v>
      </c>
      <c r="B65" s="16" t="s">
        <v>223</v>
      </c>
      <c r="C65" s="16" t="s">
        <v>224</v>
      </c>
      <c r="D65" s="16" t="s">
        <v>123</v>
      </c>
      <c r="E65" s="16" t="s">
        <v>124</v>
      </c>
      <c r="F65" s="16" t="s">
        <v>117</v>
      </c>
      <c r="G65" s="24">
        <v>2</v>
      </c>
      <c r="H65" s="25">
        <f>G65*IFERROR(INDEX('Item Master'!$E$4:$E$41,MATCH(D65,'Item Master'!$A$4:$A$41,0)),INDEX('Sub-Recipe'!$K$4:$K$200,MATCH(D65,'Sub-Recipe'!$A$4:$A$200,0)))</f>
        <v>16</v>
      </c>
      <c r="I65" s="26">
        <f>IFERROR(INDEX('Daily Sales'!$AK$5:$AK$30,MATCH($B65,'Daily Sales'!$A$5:$A$30,0)),0)</f>
        <v>38</v>
      </c>
      <c r="J65" s="17">
        <f>G65*I65</f>
        <v>76</v>
      </c>
    </row>
    <row r="66" spans="1:10" x14ac:dyDescent="0.3">
      <c r="A66" s="16" t="s">
        <v>322</v>
      </c>
      <c r="B66" s="16" t="s">
        <v>223</v>
      </c>
      <c r="C66" s="16" t="s">
        <v>224</v>
      </c>
      <c r="D66" s="16" t="s">
        <v>105</v>
      </c>
      <c r="E66" s="16" t="s">
        <v>106</v>
      </c>
      <c r="F66" s="16" t="s">
        <v>102</v>
      </c>
      <c r="G66" s="24">
        <v>0.08</v>
      </c>
      <c r="H66" s="25">
        <f>G66*IFERROR(INDEX('Item Master'!$E$4:$E$41,MATCH(D66,'Item Master'!$A$4:$A$41,0)),INDEX('Sub-Recipe'!$K$4:$K$200,MATCH(D66,'Sub-Recipe'!$A$4:$A$200,0)))</f>
        <v>52</v>
      </c>
      <c r="I66" s="26">
        <f>IFERROR(INDEX('Daily Sales'!$AK$5:$AK$30,MATCH($B66,'Daily Sales'!$A$5:$A$30,0)),0)</f>
        <v>38</v>
      </c>
      <c r="J66" s="17">
        <f>G66*I66</f>
        <v>3.04</v>
      </c>
    </row>
    <row r="67" spans="1:10" x14ac:dyDescent="0.3">
      <c r="A67" s="16" t="s">
        <v>322</v>
      </c>
      <c r="B67" s="16" t="s">
        <v>223</v>
      </c>
      <c r="C67" s="16" t="s">
        <v>224</v>
      </c>
      <c r="D67" s="16" t="s">
        <v>306</v>
      </c>
      <c r="E67" s="16" t="s">
        <v>307</v>
      </c>
      <c r="F67" s="16" t="s">
        <v>308</v>
      </c>
      <c r="G67" s="24">
        <v>2</v>
      </c>
      <c r="H67" s="25">
        <f>G67*IFERROR(INDEX('Item Master'!$E$4:$E$41,MATCH(D67,'Item Master'!$A$4:$A$41,0)),INDEX('Sub-Recipe'!$K$4:$K$200,MATCH(D67,'Sub-Recipe'!$A$4:$A$200,0)))</f>
        <v>0</v>
      </c>
      <c r="I67" s="26">
        <f>IFERROR(INDEX('Daily Sales'!$AK$5:$AK$30,MATCH($B67,'Daily Sales'!$A$5:$A$30,0)),0)</f>
        <v>38</v>
      </c>
      <c r="J67" s="17">
        <f>G67*I67</f>
        <v>76</v>
      </c>
    </row>
    <row r="68" spans="1:10" x14ac:dyDescent="0.3">
      <c r="A68" s="16" t="s">
        <v>322</v>
      </c>
      <c r="B68" s="16" t="s">
        <v>223</v>
      </c>
      <c r="C68" s="16" t="s">
        <v>224</v>
      </c>
      <c r="D68" s="16" t="s">
        <v>121</v>
      </c>
      <c r="E68" s="16" t="s">
        <v>122</v>
      </c>
      <c r="F68" s="16" t="s">
        <v>102</v>
      </c>
      <c r="G68" s="24">
        <v>0.01</v>
      </c>
      <c r="H68" s="25">
        <f>G68*IFERROR(INDEX('Item Master'!$E$4:$E$41,MATCH(D68,'Item Master'!$A$4:$A$41,0)),INDEX('Sub-Recipe'!$K$4:$K$200,MATCH(D68,'Sub-Recipe'!$A$4:$A$200,0)))</f>
        <v>4.8</v>
      </c>
      <c r="I68" s="26">
        <f>IFERROR(INDEX('Daily Sales'!$AK$5:$AK$30,MATCH($B68,'Daily Sales'!$A$5:$A$30,0)),0)</f>
        <v>38</v>
      </c>
      <c r="J68" s="17">
        <f>G68*I68</f>
        <v>0.38</v>
      </c>
    </row>
    <row r="69" spans="1:10" x14ac:dyDescent="0.3">
      <c r="A69" s="16" t="s">
        <v>322</v>
      </c>
      <c r="B69" s="16" t="s">
        <v>223</v>
      </c>
      <c r="C69" s="16" t="s">
        <v>224</v>
      </c>
      <c r="D69" s="16" t="s">
        <v>132</v>
      </c>
      <c r="E69" s="16" t="s">
        <v>133</v>
      </c>
      <c r="F69" s="16" t="s">
        <v>102</v>
      </c>
      <c r="G69" s="24">
        <v>0.01</v>
      </c>
      <c r="H69" s="25">
        <f>G69*IFERROR(INDEX('Item Master'!$E$4:$E$41,MATCH(D69,'Item Master'!$A$4:$A$41,0)),INDEX('Sub-Recipe'!$K$4:$K$200,MATCH(D69,'Sub-Recipe'!$A$4:$A$200,0)))</f>
        <v>1.8</v>
      </c>
      <c r="I69" s="26">
        <f>IFERROR(INDEX('Daily Sales'!$AK$5:$AK$30,MATCH($B69,'Daily Sales'!$A$5:$A$30,0)),0)</f>
        <v>38</v>
      </c>
      <c r="J69" s="17">
        <f>G69*I69</f>
        <v>0.38</v>
      </c>
    </row>
    <row r="70" spans="1:10" x14ac:dyDescent="0.3">
      <c r="A70" s="27" t="s">
        <v>322</v>
      </c>
      <c r="B70" s="27" t="s">
        <v>223</v>
      </c>
      <c r="C70" s="28" t="s">
        <v>323</v>
      </c>
      <c r="D70" s="28" t="s">
        <v>295</v>
      </c>
      <c r="E70" s="29"/>
      <c r="F70" s="29"/>
      <c r="G70" s="29"/>
      <c r="H70" s="30">
        <f>SUM(H65:H69)</f>
        <v>74.599999999999994</v>
      </c>
      <c r="I70" s="31"/>
      <c r="J70" s="31"/>
    </row>
    <row r="71" spans="1:10" x14ac:dyDescent="0.3">
      <c r="A71" s="31"/>
      <c r="B71" s="31"/>
      <c r="C71" s="31"/>
      <c r="D71" s="31"/>
      <c r="E71" s="31"/>
      <c r="F71" s="31"/>
      <c r="G71" s="31"/>
      <c r="H71" s="31"/>
      <c r="I71" s="31"/>
      <c r="J71" s="31"/>
    </row>
    <row r="72" spans="1:10" x14ac:dyDescent="0.3">
      <c r="A72" s="16" t="s">
        <v>324</v>
      </c>
      <c r="B72" s="16" t="s">
        <v>225</v>
      </c>
      <c r="C72" s="16" t="s">
        <v>226</v>
      </c>
      <c r="D72" s="16" t="s">
        <v>325</v>
      </c>
      <c r="E72" s="16" t="s">
        <v>326</v>
      </c>
      <c r="F72" s="16" t="s">
        <v>117</v>
      </c>
      <c r="G72" s="24">
        <v>1</v>
      </c>
      <c r="H72" s="25">
        <f>G72*IFERROR(INDEX('Item Master'!$E$4:$E$41,MATCH(D72,'Item Master'!$A$4:$A$41,0)),INDEX('Sub-Recipe'!$K$4:$K$200,MATCH(D72,'Sub-Recipe'!$A$4:$A$200,0)))</f>
        <v>0</v>
      </c>
      <c r="I72" s="26">
        <f>IFERROR(INDEX('Daily Sales'!$AK$5:$AK$30,MATCH($B72,'Daily Sales'!$A$5:$A$30,0)),0)</f>
        <v>27</v>
      </c>
      <c r="J72" s="17">
        <f>G72*I72</f>
        <v>27</v>
      </c>
    </row>
    <row r="73" spans="1:10" x14ac:dyDescent="0.3">
      <c r="A73" s="16" t="s">
        <v>324</v>
      </c>
      <c r="B73" s="16" t="s">
        <v>225</v>
      </c>
      <c r="C73" s="16" t="s">
        <v>226</v>
      </c>
      <c r="D73" s="16" t="s">
        <v>327</v>
      </c>
      <c r="E73" s="16" t="s">
        <v>328</v>
      </c>
      <c r="F73" s="16" t="s">
        <v>117</v>
      </c>
      <c r="G73" s="24">
        <v>1</v>
      </c>
      <c r="H73" s="25">
        <f>G73*IFERROR(INDEX('Item Master'!$E$4:$E$41,MATCH(D73,'Item Master'!$A$4:$A$41,0)),INDEX('Sub-Recipe'!$K$4:$K$200,MATCH(D73,'Sub-Recipe'!$A$4:$A$200,0)))</f>
        <v>0</v>
      </c>
      <c r="I73" s="26">
        <f>IFERROR(INDEX('Daily Sales'!$AK$5:$AK$30,MATCH($B73,'Daily Sales'!$A$5:$A$30,0)),0)</f>
        <v>27</v>
      </c>
      <c r="J73" s="17">
        <f>G73*I73</f>
        <v>27</v>
      </c>
    </row>
    <row r="74" spans="1:10" x14ac:dyDescent="0.3">
      <c r="A74" s="16" t="s">
        <v>324</v>
      </c>
      <c r="B74" s="16" t="s">
        <v>225</v>
      </c>
      <c r="C74" s="16" t="s">
        <v>226</v>
      </c>
      <c r="D74" s="16" t="s">
        <v>121</v>
      </c>
      <c r="E74" s="16" t="s">
        <v>122</v>
      </c>
      <c r="F74" s="16" t="s">
        <v>102</v>
      </c>
      <c r="G74" s="24">
        <v>0.01</v>
      </c>
      <c r="H74" s="25">
        <f>G74*IFERROR(INDEX('Item Master'!$E$4:$E$41,MATCH(D74,'Item Master'!$A$4:$A$41,0)),INDEX('Sub-Recipe'!$K$4:$K$200,MATCH(D74,'Sub-Recipe'!$A$4:$A$200,0)))</f>
        <v>4.8</v>
      </c>
      <c r="I74" s="26">
        <f>IFERROR(INDEX('Daily Sales'!$AK$5:$AK$30,MATCH($B74,'Daily Sales'!$A$5:$A$30,0)),0)</f>
        <v>27</v>
      </c>
      <c r="J74" s="17">
        <f>G74*I74</f>
        <v>0.27</v>
      </c>
    </row>
    <row r="75" spans="1:10" x14ac:dyDescent="0.3">
      <c r="A75" s="16" t="s">
        <v>324</v>
      </c>
      <c r="B75" s="16" t="s">
        <v>225</v>
      </c>
      <c r="C75" s="16" t="s">
        <v>226</v>
      </c>
      <c r="D75" s="16" t="s">
        <v>114</v>
      </c>
      <c r="E75" s="16" t="s">
        <v>115</v>
      </c>
      <c r="F75" s="16" t="s">
        <v>117</v>
      </c>
      <c r="G75" s="24">
        <v>1</v>
      </c>
      <c r="H75" s="25">
        <f>G75*IFERROR(INDEX('Item Master'!$E$4:$E$41,MATCH(D75,'Item Master'!$A$4:$A$41,0)),INDEX('Sub-Recipe'!$K$4:$K$200,MATCH(D75,'Sub-Recipe'!$A$4:$A$200,0)))</f>
        <v>12</v>
      </c>
      <c r="I75" s="26">
        <f>IFERROR(INDEX('Daily Sales'!$AK$5:$AK$30,MATCH($B75,'Daily Sales'!$A$5:$A$30,0)),0)</f>
        <v>27</v>
      </c>
      <c r="J75" s="17">
        <f>G75*I75</f>
        <v>27</v>
      </c>
    </row>
    <row r="76" spans="1:10" x14ac:dyDescent="0.3">
      <c r="A76" s="27" t="s">
        <v>324</v>
      </c>
      <c r="B76" s="27" t="s">
        <v>225</v>
      </c>
      <c r="C76" s="28" t="s">
        <v>329</v>
      </c>
      <c r="D76" s="28" t="s">
        <v>295</v>
      </c>
      <c r="E76" s="29"/>
      <c r="F76" s="29"/>
      <c r="G76" s="29"/>
      <c r="H76" s="30">
        <f>SUM(H72:H75)</f>
        <v>16.8</v>
      </c>
      <c r="I76" s="31"/>
      <c r="J76" s="31"/>
    </row>
    <row r="77" spans="1:10" x14ac:dyDescent="0.3">
      <c r="A77" s="31"/>
      <c r="B77" s="31"/>
      <c r="C77" s="31"/>
      <c r="D77" s="31"/>
      <c r="E77" s="31"/>
      <c r="F77" s="31"/>
      <c r="G77" s="31"/>
      <c r="H77" s="31"/>
      <c r="I77" s="31"/>
      <c r="J77" s="31"/>
    </row>
    <row r="78" spans="1:10" x14ac:dyDescent="0.3">
      <c r="A78" s="16" t="s">
        <v>330</v>
      </c>
      <c r="B78" s="16" t="s">
        <v>228</v>
      </c>
      <c r="C78" s="16" t="s">
        <v>229</v>
      </c>
      <c r="D78" s="16" t="s">
        <v>325</v>
      </c>
      <c r="E78" s="16" t="s">
        <v>326</v>
      </c>
      <c r="F78" s="16" t="s">
        <v>117</v>
      </c>
      <c r="G78" s="24">
        <v>1</v>
      </c>
      <c r="H78" s="25">
        <f>G78*IFERROR(INDEX('Item Master'!$E$4:$E$41,MATCH(D78,'Item Master'!$A$4:$A$41,0)),INDEX('Sub-Recipe'!$K$4:$K$200,MATCH(D78,'Sub-Recipe'!$A$4:$A$200,0)))</f>
        <v>0</v>
      </c>
      <c r="I78" s="26">
        <f>IFERROR(INDEX('Daily Sales'!$AK$5:$AK$30,MATCH($B78,'Daily Sales'!$A$5:$A$30,0)),0)</f>
        <v>85</v>
      </c>
      <c r="J78" s="17">
        <f>G78*I78</f>
        <v>85</v>
      </c>
    </row>
    <row r="79" spans="1:10" x14ac:dyDescent="0.3">
      <c r="A79" s="16" t="s">
        <v>330</v>
      </c>
      <c r="B79" s="16" t="s">
        <v>228</v>
      </c>
      <c r="C79" s="16" t="s">
        <v>229</v>
      </c>
      <c r="D79" s="16" t="s">
        <v>121</v>
      </c>
      <c r="E79" s="16" t="s">
        <v>122</v>
      </c>
      <c r="F79" s="16" t="s">
        <v>102</v>
      </c>
      <c r="G79" s="24">
        <v>0.02</v>
      </c>
      <c r="H79" s="25">
        <f>G79*IFERROR(INDEX('Item Master'!$E$4:$E$41,MATCH(D79,'Item Master'!$A$4:$A$41,0)),INDEX('Sub-Recipe'!$K$4:$K$200,MATCH(D79,'Sub-Recipe'!$A$4:$A$200,0)))</f>
        <v>9.6</v>
      </c>
      <c r="I79" s="26">
        <f>IFERROR(INDEX('Daily Sales'!$AK$5:$AK$30,MATCH($B79,'Daily Sales'!$A$5:$A$30,0)),0)</f>
        <v>85</v>
      </c>
      <c r="J79" s="17">
        <f>G79*I79</f>
        <v>1.7</v>
      </c>
    </row>
    <row r="80" spans="1:10" x14ac:dyDescent="0.3">
      <c r="A80" s="27" t="s">
        <v>330</v>
      </c>
      <c r="B80" s="27" t="s">
        <v>228</v>
      </c>
      <c r="C80" s="28" t="s">
        <v>331</v>
      </c>
      <c r="D80" s="28" t="s">
        <v>295</v>
      </c>
      <c r="E80" s="29"/>
      <c r="F80" s="29"/>
      <c r="G80" s="29"/>
      <c r="H80" s="30">
        <f>SUM(H78:H79)</f>
        <v>9.6</v>
      </c>
      <c r="I80" s="31"/>
      <c r="J80" s="31"/>
    </row>
    <row r="81" spans="1:10" x14ac:dyDescent="0.3">
      <c r="A81" s="31"/>
      <c r="B81" s="31"/>
      <c r="C81" s="31"/>
      <c r="D81" s="31"/>
      <c r="E81" s="31"/>
      <c r="F81" s="31"/>
      <c r="G81" s="31"/>
      <c r="H81" s="31"/>
      <c r="I81" s="31"/>
      <c r="J81" s="31"/>
    </row>
    <row r="82" spans="1:10" x14ac:dyDescent="0.3">
      <c r="A82" s="16" t="s">
        <v>332</v>
      </c>
      <c r="B82" s="16" t="s">
        <v>230</v>
      </c>
      <c r="C82" s="16" t="s">
        <v>231</v>
      </c>
      <c r="D82" s="16" t="s">
        <v>327</v>
      </c>
      <c r="E82" s="16" t="s">
        <v>328</v>
      </c>
      <c r="F82" s="16" t="s">
        <v>117</v>
      </c>
      <c r="G82" s="24">
        <v>1</v>
      </c>
      <c r="H82" s="25">
        <f>G82*IFERROR(INDEX('Item Master'!$E$4:$E$41,MATCH(D82,'Item Master'!$A$4:$A$41,0)),INDEX('Sub-Recipe'!$K$4:$K$200,MATCH(D82,'Sub-Recipe'!$A$4:$A$200,0)))</f>
        <v>0</v>
      </c>
      <c r="I82" s="26">
        <f>IFERROR(INDEX('Daily Sales'!$AK$5:$AK$30,MATCH($B82,'Daily Sales'!$A$5:$A$30,0)),0)</f>
        <v>62</v>
      </c>
      <c r="J82" s="17">
        <f>G82*I82</f>
        <v>62</v>
      </c>
    </row>
    <row r="83" spans="1:10" x14ac:dyDescent="0.3">
      <c r="A83" s="16" t="s">
        <v>332</v>
      </c>
      <c r="B83" s="16" t="s">
        <v>230</v>
      </c>
      <c r="C83" s="16" t="s">
        <v>231</v>
      </c>
      <c r="D83" s="16" t="s">
        <v>121</v>
      </c>
      <c r="E83" s="16" t="s">
        <v>122</v>
      </c>
      <c r="F83" s="16" t="s">
        <v>102</v>
      </c>
      <c r="G83" s="24">
        <v>0.01</v>
      </c>
      <c r="H83" s="25">
        <f>G83*IFERROR(INDEX('Item Master'!$E$4:$E$41,MATCH(D83,'Item Master'!$A$4:$A$41,0)),INDEX('Sub-Recipe'!$K$4:$K$200,MATCH(D83,'Sub-Recipe'!$A$4:$A$200,0)))</f>
        <v>4.8</v>
      </c>
      <c r="I83" s="26">
        <f>IFERROR(INDEX('Daily Sales'!$AK$5:$AK$30,MATCH($B83,'Daily Sales'!$A$5:$A$30,0)),0)</f>
        <v>62</v>
      </c>
      <c r="J83" s="17">
        <f>G83*I83</f>
        <v>0.62</v>
      </c>
    </row>
    <row r="84" spans="1:10" x14ac:dyDescent="0.3">
      <c r="A84" s="27" t="s">
        <v>332</v>
      </c>
      <c r="B84" s="27" t="s">
        <v>230</v>
      </c>
      <c r="C84" s="28" t="s">
        <v>333</v>
      </c>
      <c r="D84" s="28" t="s">
        <v>295</v>
      </c>
      <c r="E84" s="29"/>
      <c r="F84" s="29"/>
      <c r="G84" s="29"/>
      <c r="H84" s="30">
        <f>SUM(H82:H83)</f>
        <v>4.8</v>
      </c>
      <c r="I84" s="31"/>
      <c r="J84" s="31"/>
    </row>
    <row r="85" spans="1:10" x14ac:dyDescent="0.3">
      <c r="A85" s="31"/>
      <c r="B85" s="31"/>
      <c r="C85" s="31"/>
      <c r="D85" s="31"/>
      <c r="E85" s="31"/>
      <c r="F85" s="31"/>
      <c r="G85" s="31"/>
      <c r="H85" s="31"/>
      <c r="I85" s="31"/>
      <c r="J85" s="31"/>
    </row>
    <row r="86" spans="1:10" x14ac:dyDescent="0.3">
      <c r="A86" s="16" t="s">
        <v>334</v>
      </c>
      <c r="B86" s="16" t="s">
        <v>233</v>
      </c>
      <c r="C86" s="16" t="s">
        <v>234</v>
      </c>
      <c r="D86" s="16" t="s">
        <v>103</v>
      </c>
      <c r="E86" s="16" t="s">
        <v>104</v>
      </c>
      <c r="F86" s="16" t="s">
        <v>102</v>
      </c>
      <c r="G86" s="24">
        <v>0.12</v>
      </c>
      <c r="H86" s="25">
        <f>G86*IFERROR(INDEX('Item Master'!$E$4:$E$41,MATCH(D86,'Item Master'!$A$4:$A$41,0)),INDEX('Sub-Recipe'!$K$4:$K$200,MATCH(D86,'Sub-Recipe'!$A$4:$A$200,0)))</f>
        <v>57.599999999999994</v>
      </c>
      <c r="I86" s="26">
        <f>IFERROR(INDEX('Daily Sales'!$AK$5:$AK$30,MATCH($B86,'Daily Sales'!$A$5:$A$30,0)),0)</f>
        <v>41</v>
      </c>
      <c r="J86" s="17">
        <f>G86*I86</f>
        <v>4.92</v>
      </c>
    </row>
    <row r="87" spans="1:10" x14ac:dyDescent="0.3">
      <c r="A87" s="16" t="s">
        <v>334</v>
      </c>
      <c r="B87" s="16" t="s">
        <v>233</v>
      </c>
      <c r="C87" s="16" t="s">
        <v>234</v>
      </c>
      <c r="D87" s="16" t="s">
        <v>107</v>
      </c>
      <c r="E87" s="16" t="s">
        <v>108</v>
      </c>
      <c r="F87" s="16" t="s">
        <v>102</v>
      </c>
      <c r="G87" s="24">
        <v>0.1</v>
      </c>
      <c r="H87" s="25">
        <f>G87*IFERROR(INDEX('Item Master'!$E$4:$E$41,MATCH(D87,'Item Master'!$A$4:$A$41,0)),INDEX('Sub-Recipe'!$K$4:$K$200,MATCH(D87,'Sub-Recipe'!$A$4:$A$200,0)))</f>
        <v>6</v>
      </c>
      <c r="I87" s="26">
        <f>IFERROR(INDEX('Daily Sales'!$AK$5:$AK$30,MATCH($B87,'Daily Sales'!$A$5:$A$30,0)),0)</f>
        <v>41</v>
      </c>
      <c r="J87" s="17">
        <f>G87*I87</f>
        <v>4.1000000000000005</v>
      </c>
    </row>
    <row r="88" spans="1:10" ht="27" x14ac:dyDescent="0.3">
      <c r="A88" s="16" t="s">
        <v>334</v>
      </c>
      <c r="B88" s="16" t="s">
        <v>233</v>
      </c>
      <c r="C88" s="16" t="s">
        <v>234</v>
      </c>
      <c r="D88" s="16" t="s">
        <v>299</v>
      </c>
      <c r="E88" s="16" t="s">
        <v>300</v>
      </c>
      <c r="F88" s="76" t="s">
        <v>301</v>
      </c>
      <c r="G88" s="24">
        <v>1</v>
      </c>
      <c r="H88" s="25">
        <f>G88*IFERROR(INDEX('Item Master'!$E$4:$E$41,MATCH(D88,'Item Master'!$A$4:$A$41,0)),INDEX('Sub-Recipe'!$K$4:$K$200,MATCH(D88,'Sub-Recipe'!$A$4:$A$200,0)))</f>
        <v>0</v>
      </c>
      <c r="I88" s="26">
        <f>IFERROR(INDEX('Daily Sales'!$AK$5:$AK$30,MATCH($B88,'Daily Sales'!$A$5:$A$30,0)),0)</f>
        <v>41</v>
      </c>
      <c r="J88" s="17">
        <f>G88*I88</f>
        <v>41</v>
      </c>
    </row>
    <row r="89" spans="1:10" x14ac:dyDescent="0.3">
      <c r="A89" s="16" t="s">
        <v>334</v>
      </c>
      <c r="B89" s="16" t="s">
        <v>233</v>
      </c>
      <c r="C89" s="16" t="s">
        <v>234</v>
      </c>
      <c r="D89" s="16" t="s">
        <v>134</v>
      </c>
      <c r="E89" s="16" t="s">
        <v>135</v>
      </c>
      <c r="F89" s="16" t="s">
        <v>102</v>
      </c>
      <c r="G89" s="24">
        <v>0.02</v>
      </c>
      <c r="H89" s="25">
        <f>G89*IFERROR(INDEX('Item Master'!$E$4:$E$41,MATCH(D89,'Item Master'!$A$4:$A$41,0)),INDEX('Sub-Recipe'!$K$4:$K$200,MATCH(D89,'Sub-Recipe'!$A$4:$A$200,0)))</f>
        <v>12.4</v>
      </c>
      <c r="I89" s="26">
        <f>IFERROR(INDEX('Daily Sales'!$AK$5:$AK$30,MATCH($B89,'Daily Sales'!$A$5:$A$30,0)),0)</f>
        <v>41</v>
      </c>
      <c r="J89" s="17">
        <f>G89*I89</f>
        <v>0.82000000000000006</v>
      </c>
    </row>
    <row r="90" spans="1:10" x14ac:dyDescent="0.3">
      <c r="A90" s="27" t="s">
        <v>334</v>
      </c>
      <c r="B90" s="27" t="s">
        <v>233</v>
      </c>
      <c r="C90" s="28" t="s">
        <v>335</v>
      </c>
      <c r="D90" s="28" t="s">
        <v>295</v>
      </c>
      <c r="E90" s="29"/>
      <c r="F90" s="29"/>
      <c r="G90" s="29"/>
      <c r="H90" s="30">
        <f>SUM(H86:H89)</f>
        <v>76</v>
      </c>
      <c r="I90" s="31"/>
      <c r="J90" s="31"/>
    </row>
    <row r="91" spans="1:10" x14ac:dyDescent="0.3">
      <c r="A91" s="31"/>
      <c r="B91" s="31"/>
      <c r="C91" s="31"/>
      <c r="D91" s="31"/>
      <c r="E91" s="31"/>
      <c r="F91" s="31"/>
      <c r="G91" s="31"/>
      <c r="H91" s="31"/>
      <c r="I91" s="31"/>
      <c r="J91" s="31"/>
    </row>
    <row r="92" spans="1:10" x14ac:dyDescent="0.3">
      <c r="A92" s="16" t="s">
        <v>336</v>
      </c>
      <c r="B92" s="16" t="s">
        <v>236</v>
      </c>
      <c r="C92" s="16" t="s">
        <v>237</v>
      </c>
      <c r="D92" s="16" t="s">
        <v>158</v>
      </c>
      <c r="E92" s="16" t="s">
        <v>159</v>
      </c>
      <c r="F92" s="16" t="s">
        <v>102</v>
      </c>
      <c r="G92" s="24">
        <v>0.15</v>
      </c>
      <c r="H92" s="25">
        <f>G92*IFERROR(INDEX('Item Master'!$E$4:$E$41,MATCH(D92,'Item Master'!$A$4:$A$41,0)),INDEX('Sub-Recipe'!$K$4:$K$200,MATCH(D92,'Sub-Recipe'!$A$4:$A$200,0)))</f>
        <v>13.5</v>
      </c>
      <c r="I92" s="26">
        <f>IFERROR(INDEX('Daily Sales'!$AK$5:$AK$30,MATCH($B92,'Daily Sales'!$A$5:$A$30,0)),0)</f>
        <v>33</v>
      </c>
      <c r="J92" s="17">
        <f>G92*I92</f>
        <v>4.95</v>
      </c>
    </row>
    <row r="93" spans="1:10" x14ac:dyDescent="0.3">
      <c r="A93" s="16" t="s">
        <v>336</v>
      </c>
      <c r="B93" s="16" t="s">
        <v>236</v>
      </c>
      <c r="C93" s="16" t="s">
        <v>237</v>
      </c>
      <c r="D93" s="16" t="s">
        <v>107</v>
      </c>
      <c r="E93" s="16" t="s">
        <v>108</v>
      </c>
      <c r="F93" s="16" t="s">
        <v>102</v>
      </c>
      <c r="G93" s="24">
        <v>0.1</v>
      </c>
      <c r="H93" s="25">
        <f>G93*IFERROR(INDEX('Item Master'!$E$4:$E$41,MATCH(D93,'Item Master'!$A$4:$A$41,0)),INDEX('Sub-Recipe'!$K$4:$K$200,MATCH(D93,'Sub-Recipe'!$A$4:$A$200,0)))</f>
        <v>6</v>
      </c>
      <c r="I93" s="26">
        <f>IFERROR(INDEX('Daily Sales'!$AK$5:$AK$30,MATCH($B93,'Daily Sales'!$A$5:$A$30,0)),0)</f>
        <v>33</v>
      </c>
      <c r="J93" s="17">
        <f>G93*I93</f>
        <v>3.3000000000000003</v>
      </c>
    </row>
    <row r="94" spans="1:10" x14ac:dyDescent="0.3">
      <c r="A94" s="16" t="s">
        <v>336</v>
      </c>
      <c r="B94" s="16" t="s">
        <v>236</v>
      </c>
      <c r="C94" s="16" t="s">
        <v>237</v>
      </c>
      <c r="D94" s="16" t="s">
        <v>110</v>
      </c>
      <c r="E94" s="16" t="s">
        <v>111</v>
      </c>
      <c r="F94" s="16" t="s">
        <v>102</v>
      </c>
      <c r="G94" s="24">
        <v>0.05</v>
      </c>
      <c r="H94" s="25">
        <f>G94*IFERROR(INDEX('Item Master'!$E$4:$E$41,MATCH(D94,'Item Master'!$A$4:$A$41,0)),INDEX('Sub-Recipe'!$K$4:$K$200,MATCH(D94,'Sub-Recipe'!$A$4:$A$200,0)))</f>
        <v>2.75</v>
      </c>
      <c r="I94" s="26">
        <f>IFERROR(INDEX('Daily Sales'!$AK$5:$AK$30,MATCH($B94,'Daily Sales'!$A$5:$A$30,0)),0)</f>
        <v>33</v>
      </c>
      <c r="J94" s="17">
        <f>G94*I94</f>
        <v>1.6500000000000001</v>
      </c>
    </row>
    <row r="95" spans="1:10" x14ac:dyDescent="0.3">
      <c r="A95" s="16" t="s">
        <v>336</v>
      </c>
      <c r="B95" s="16" t="s">
        <v>236</v>
      </c>
      <c r="C95" s="16" t="s">
        <v>237</v>
      </c>
      <c r="D95" s="16" t="s">
        <v>112</v>
      </c>
      <c r="E95" s="16" t="s">
        <v>113</v>
      </c>
      <c r="F95" s="16" t="s">
        <v>102</v>
      </c>
      <c r="G95" s="24">
        <v>0.02</v>
      </c>
      <c r="H95" s="25">
        <f>G95*IFERROR(INDEX('Item Master'!$E$4:$E$41,MATCH(D95,'Item Master'!$A$4:$A$41,0)),INDEX('Sub-Recipe'!$K$4:$K$200,MATCH(D95,'Sub-Recipe'!$A$4:$A$200,0)))</f>
        <v>0.8</v>
      </c>
      <c r="I95" s="26">
        <f>IFERROR(INDEX('Daily Sales'!$AK$5:$AK$30,MATCH($B95,'Daily Sales'!$A$5:$A$30,0)),0)</f>
        <v>33</v>
      </c>
      <c r="J95" s="17">
        <f>G95*I95</f>
        <v>0.66</v>
      </c>
    </row>
    <row r="96" spans="1:10" x14ac:dyDescent="0.3">
      <c r="A96" s="16" t="s">
        <v>336</v>
      </c>
      <c r="B96" s="16" t="s">
        <v>236</v>
      </c>
      <c r="C96" s="16" t="s">
        <v>237</v>
      </c>
      <c r="D96" s="16" t="s">
        <v>183</v>
      </c>
      <c r="E96" s="16" t="s">
        <v>184</v>
      </c>
      <c r="F96" s="16" t="s">
        <v>147</v>
      </c>
      <c r="G96" s="24">
        <v>0.02</v>
      </c>
      <c r="H96" s="25">
        <f>G96*IFERROR(INDEX('Item Master'!$E$4:$E$41,MATCH(D96,'Item Master'!$A$4:$A$41,0)),INDEX('Sub-Recipe'!$K$4:$K$200,MATCH(D96,'Sub-Recipe'!$A$4:$A$200,0)))</f>
        <v>3</v>
      </c>
      <c r="I96" s="26">
        <f>IFERROR(INDEX('Daily Sales'!$AK$5:$AK$30,MATCH($B96,'Daily Sales'!$A$5:$A$30,0)),0)</f>
        <v>33</v>
      </c>
      <c r="J96" s="17">
        <f>G96*I96</f>
        <v>0.66</v>
      </c>
    </row>
    <row r="97" spans="1:10" x14ac:dyDescent="0.3">
      <c r="A97" s="27" t="s">
        <v>336</v>
      </c>
      <c r="B97" s="27" t="s">
        <v>236</v>
      </c>
      <c r="C97" s="28" t="s">
        <v>337</v>
      </c>
      <c r="D97" s="28" t="s">
        <v>295</v>
      </c>
      <c r="E97" s="29"/>
      <c r="F97" s="29"/>
      <c r="G97" s="29"/>
      <c r="H97" s="30">
        <f>SUM(H92:H96)</f>
        <v>26.05</v>
      </c>
      <c r="I97" s="31"/>
      <c r="J97" s="31"/>
    </row>
    <row r="98" spans="1:10" x14ac:dyDescent="0.3">
      <c r="A98" s="31"/>
      <c r="B98" s="31"/>
      <c r="C98" s="31"/>
      <c r="D98" s="31"/>
      <c r="E98" s="31"/>
      <c r="F98" s="31"/>
      <c r="G98" s="31"/>
      <c r="H98" s="31"/>
      <c r="I98" s="31"/>
      <c r="J98" s="31"/>
    </row>
    <row r="99" spans="1:10" x14ac:dyDescent="0.3">
      <c r="A99" s="16" t="s">
        <v>338</v>
      </c>
      <c r="B99" s="16" t="s">
        <v>239</v>
      </c>
      <c r="C99" s="16" t="s">
        <v>240</v>
      </c>
      <c r="D99" s="16" t="s">
        <v>339</v>
      </c>
      <c r="E99" s="16" t="s">
        <v>340</v>
      </c>
      <c r="F99" s="16" t="s">
        <v>341</v>
      </c>
      <c r="G99" s="24">
        <v>1</v>
      </c>
      <c r="H99" s="25">
        <f>G99*IFERROR(INDEX('Item Master'!$E$4:$E$41,MATCH(D99,'Item Master'!$A$4:$A$41,0)),INDEX('Sub-Recipe'!$K$4:$K$200,MATCH(D99,'Sub-Recipe'!$A$4:$A$200,0)))</f>
        <v>0</v>
      </c>
      <c r="I99" s="26">
        <f>IFERROR(INDEX('Daily Sales'!$AK$5:$AK$30,MATCH($B99,'Daily Sales'!$A$5:$A$30,0)),0)</f>
        <v>82</v>
      </c>
      <c r="J99" s="17">
        <f>G99*I99</f>
        <v>82</v>
      </c>
    </row>
    <row r="100" spans="1:10" ht="27" x14ac:dyDescent="0.3">
      <c r="A100" s="16" t="s">
        <v>338</v>
      </c>
      <c r="B100" s="16" t="s">
        <v>239</v>
      </c>
      <c r="C100" s="16" t="s">
        <v>240</v>
      </c>
      <c r="D100" s="16" t="s">
        <v>342</v>
      </c>
      <c r="E100" s="16" t="s">
        <v>343</v>
      </c>
      <c r="F100" s="76" t="s">
        <v>301</v>
      </c>
      <c r="G100" s="24">
        <v>1</v>
      </c>
      <c r="H100" s="25">
        <f>G100*IFERROR(INDEX('Item Master'!$E$4:$E$41,MATCH(D100,'Item Master'!$A$4:$A$41,0)),INDEX('Sub-Recipe'!$K$4:$K$200,MATCH(D100,'Sub-Recipe'!$A$4:$A$200,0)))</f>
        <v>0</v>
      </c>
      <c r="I100" s="26">
        <f>IFERROR(INDEX('Daily Sales'!$AK$5:$AK$30,MATCH($B100,'Daily Sales'!$A$5:$A$30,0)),0)</f>
        <v>82</v>
      </c>
      <c r="J100" s="17">
        <f>G100*I100</f>
        <v>82</v>
      </c>
    </row>
    <row r="101" spans="1:10" x14ac:dyDescent="0.3">
      <c r="A101" s="16" t="s">
        <v>338</v>
      </c>
      <c r="B101" s="16" t="s">
        <v>239</v>
      </c>
      <c r="C101" s="16" t="s">
        <v>240</v>
      </c>
      <c r="D101" s="16" t="s">
        <v>134</v>
      </c>
      <c r="E101" s="16" t="s">
        <v>135</v>
      </c>
      <c r="F101" s="16" t="s">
        <v>102</v>
      </c>
      <c r="G101" s="24">
        <v>0.15</v>
      </c>
      <c r="H101" s="25">
        <f>G101*IFERROR(INDEX('Item Master'!$E$4:$E$41,MATCH(D101,'Item Master'!$A$4:$A$41,0)),INDEX('Sub-Recipe'!$K$4:$K$200,MATCH(D101,'Sub-Recipe'!$A$4:$A$200,0)))</f>
        <v>93</v>
      </c>
      <c r="I101" s="26">
        <f>IFERROR(INDEX('Daily Sales'!$AK$5:$AK$30,MATCH($B101,'Daily Sales'!$A$5:$A$30,0)),0)</f>
        <v>82</v>
      </c>
      <c r="J101" s="17">
        <f>G101*I101</f>
        <v>12.299999999999999</v>
      </c>
    </row>
    <row r="102" spans="1:10" x14ac:dyDescent="0.3">
      <c r="A102" s="27" t="s">
        <v>338</v>
      </c>
      <c r="B102" s="27" t="s">
        <v>239</v>
      </c>
      <c r="C102" s="28" t="s">
        <v>344</v>
      </c>
      <c r="D102" s="28" t="s">
        <v>295</v>
      </c>
      <c r="E102" s="29"/>
      <c r="F102" s="29"/>
      <c r="G102" s="29"/>
      <c r="H102" s="30">
        <f>SUM(H99:H101)</f>
        <v>93</v>
      </c>
      <c r="I102" s="31"/>
      <c r="J102" s="31"/>
    </row>
    <row r="103" spans="1:10" x14ac:dyDescent="0.3">
      <c r="A103" s="31"/>
      <c r="B103" s="31"/>
      <c r="C103" s="31"/>
      <c r="D103" s="31"/>
      <c r="E103" s="31"/>
      <c r="F103" s="31"/>
      <c r="G103" s="31"/>
      <c r="H103" s="31"/>
      <c r="I103" s="31"/>
      <c r="J103" s="31"/>
    </row>
    <row r="104" spans="1:10" x14ac:dyDescent="0.3">
      <c r="A104" s="16" t="s">
        <v>345</v>
      </c>
      <c r="B104" s="16" t="s">
        <v>243</v>
      </c>
      <c r="C104" s="16" t="s">
        <v>244</v>
      </c>
      <c r="D104" s="16" t="s">
        <v>137</v>
      </c>
      <c r="E104" s="16" t="s">
        <v>138</v>
      </c>
      <c r="F104" s="16" t="s">
        <v>102</v>
      </c>
      <c r="G104" s="24">
        <v>1.7999999999999999E-2</v>
      </c>
      <c r="H104" s="25">
        <f>G104*IFERROR(INDEX('Item Master'!$E$4:$E$41,MATCH(D104,'Item Master'!$A$4:$A$41,0)),INDEX('Sub-Recipe'!$K$4:$K$200,MATCH(D104,'Sub-Recipe'!$A$4:$A$200,0)))</f>
        <v>16.2</v>
      </c>
      <c r="I104" s="26">
        <f>IFERROR(INDEX('Daily Sales'!$AK$5:$AK$30,MATCH($B104,'Daily Sales'!$A$5:$A$30,0)),0)</f>
        <v>137</v>
      </c>
      <c r="J104" s="17">
        <f>G104*I104</f>
        <v>2.4659999999999997</v>
      </c>
    </row>
    <row r="105" spans="1:10" x14ac:dyDescent="0.3">
      <c r="A105" s="27" t="s">
        <v>345</v>
      </c>
      <c r="B105" s="27" t="s">
        <v>243</v>
      </c>
      <c r="C105" s="28" t="s">
        <v>346</v>
      </c>
      <c r="D105" s="28" t="s">
        <v>295</v>
      </c>
      <c r="E105" s="29"/>
      <c r="F105" s="29"/>
      <c r="G105" s="29"/>
      <c r="H105" s="30">
        <f>SUM(H104:H104)</f>
        <v>16.2</v>
      </c>
      <c r="I105" s="31"/>
      <c r="J105" s="31"/>
    </row>
    <row r="106" spans="1:10" x14ac:dyDescent="0.3">
      <c r="A106" s="31"/>
      <c r="B106" s="31"/>
      <c r="C106" s="31"/>
      <c r="D106" s="31"/>
      <c r="E106" s="31"/>
      <c r="F106" s="31"/>
      <c r="G106" s="31"/>
      <c r="H106" s="31"/>
      <c r="I106" s="31"/>
      <c r="J106" s="31"/>
    </row>
    <row r="107" spans="1:10" x14ac:dyDescent="0.3">
      <c r="A107" s="16" t="s">
        <v>347</v>
      </c>
      <c r="B107" s="16" t="s">
        <v>247</v>
      </c>
      <c r="C107" s="16" t="s">
        <v>248</v>
      </c>
      <c r="D107" s="16" t="s">
        <v>137</v>
      </c>
      <c r="E107" s="16" t="s">
        <v>138</v>
      </c>
      <c r="F107" s="16" t="s">
        <v>102</v>
      </c>
      <c r="G107" s="24">
        <v>1.7999999999999999E-2</v>
      </c>
      <c r="H107" s="25">
        <f>G107*IFERROR(INDEX('Item Master'!$E$4:$E$41,MATCH(D107,'Item Master'!$A$4:$A$41,0)),INDEX('Sub-Recipe'!$K$4:$K$200,MATCH(D107,'Sub-Recipe'!$A$4:$A$200,0)))</f>
        <v>16.2</v>
      </c>
      <c r="I107" s="26">
        <f>IFERROR(INDEX('Daily Sales'!$AK$5:$AK$30,MATCH($B107,'Daily Sales'!$A$5:$A$30,0)),0)</f>
        <v>157</v>
      </c>
      <c r="J107" s="17">
        <f>G107*I107</f>
        <v>2.8259999999999996</v>
      </c>
    </row>
    <row r="108" spans="1:10" x14ac:dyDescent="0.3">
      <c r="A108" s="16" t="s">
        <v>347</v>
      </c>
      <c r="B108" s="16" t="s">
        <v>247</v>
      </c>
      <c r="C108" s="16" t="s">
        <v>248</v>
      </c>
      <c r="D108" s="16" t="s">
        <v>144</v>
      </c>
      <c r="E108" s="16" t="s">
        <v>145</v>
      </c>
      <c r="F108" s="16" t="s">
        <v>147</v>
      </c>
      <c r="G108" s="24">
        <v>0.15</v>
      </c>
      <c r="H108" s="25">
        <f>G108*IFERROR(INDEX('Item Master'!$E$4:$E$41,MATCH(D108,'Item Master'!$A$4:$A$41,0)),INDEX('Sub-Recipe'!$K$4:$K$200,MATCH(D108,'Sub-Recipe'!$A$4:$A$200,0)))</f>
        <v>9.75</v>
      </c>
      <c r="I108" s="26">
        <f>IFERROR(INDEX('Daily Sales'!$AK$5:$AK$30,MATCH($B108,'Daily Sales'!$A$5:$A$30,0)),0)</f>
        <v>157</v>
      </c>
      <c r="J108" s="17">
        <f>G108*I108</f>
        <v>23.55</v>
      </c>
    </row>
    <row r="109" spans="1:10" x14ac:dyDescent="0.3">
      <c r="A109" s="27" t="s">
        <v>347</v>
      </c>
      <c r="B109" s="27" t="s">
        <v>247</v>
      </c>
      <c r="C109" s="28" t="s">
        <v>348</v>
      </c>
      <c r="D109" s="28" t="s">
        <v>295</v>
      </c>
      <c r="E109" s="29"/>
      <c r="F109" s="29"/>
      <c r="G109" s="29"/>
      <c r="H109" s="30">
        <f>SUM(H107:H108)</f>
        <v>25.95</v>
      </c>
      <c r="I109" s="31"/>
      <c r="J109" s="31"/>
    </row>
    <row r="110" spans="1:10" x14ac:dyDescent="0.3">
      <c r="A110" s="31"/>
      <c r="B110" s="31"/>
      <c r="C110" s="31"/>
      <c r="D110" s="31"/>
      <c r="E110" s="31"/>
      <c r="F110" s="31"/>
      <c r="G110" s="31"/>
      <c r="H110" s="31"/>
      <c r="I110" s="31"/>
      <c r="J110" s="31"/>
    </row>
    <row r="111" spans="1:10" x14ac:dyDescent="0.3">
      <c r="A111" s="16" t="s">
        <v>349</v>
      </c>
      <c r="B111" s="16" t="s">
        <v>250</v>
      </c>
      <c r="C111" s="16" t="s">
        <v>251</v>
      </c>
      <c r="D111" s="16" t="s">
        <v>140</v>
      </c>
      <c r="E111" s="16" t="s">
        <v>141</v>
      </c>
      <c r="F111" s="16" t="s">
        <v>117</v>
      </c>
      <c r="G111" s="24">
        <v>1</v>
      </c>
      <c r="H111" s="25">
        <f>G111*IFERROR(INDEX('Item Master'!$E$4:$E$41,MATCH(D111,'Item Master'!$A$4:$A$41,0)),INDEX('Sub-Recipe'!$K$4:$K$200,MATCH(D111,'Sub-Recipe'!$A$4:$A$200,0)))</f>
        <v>3</v>
      </c>
      <c r="I111" s="26">
        <f>IFERROR(INDEX('Daily Sales'!$AK$5:$AK$30,MATCH($B111,'Daily Sales'!$A$5:$A$30,0)),0)</f>
        <v>74</v>
      </c>
      <c r="J111" s="17">
        <f>G111*I111</f>
        <v>74</v>
      </c>
    </row>
    <row r="112" spans="1:10" x14ac:dyDescent="0.3">
      <c r="A112" s="16" t="s">
        <v>349</v>
      </c>
      <c r="B112" s="16" t="s">
        <v>250</v>
      </c>
      <c r="C112" s="16" t="s">
        <v>251</v>
      </c>
      <c r="D112" s="16" t="s">
        <v>144</v>
      </c>
      <c r="E112" s="16" t="s">
        <v>145</v>
      </c>
      <c r="F112" s="16" t="s">
        <v>147</v>
      </c>
      <c r="G112" s="24">
        <v>0.05</v>
      </c>
      <c r="H112" s="25">
        <f>G112*IFERROR(INDEX('Item Master'!$E$4:$E$41,MATCH(D112,'Item Master'!$A$4:$A$41,0)),INDEX('Sub-Recipe'!$K$4:$K$200,MATCH(D112,'Sub-Recipe'!$A$4:$A$200,0)))</f>
        <v>3.25</v>
      </c>
      <c r="I112" s="26">
        <f>IFERROR(INDEX('Daily Sales'!$AK$5:$AK$30,MATCH($B112,'Daily Sales'!$A$5:$A$30,0)),0)</f>
        <v>74</v>
      </c>
      <c r="J112" s="17">
        <f>G112*I112</f>
        <v>3.7</v>
      </c>
    </row>
    <row r="113" spans="1:10" x14ac:dyDescent="0.3">
      <c r="A113" s="27" t="s">
        <v>349</v>
      </c>
      <c r="B113" s="27" t="s">
        <v>250</v>
      </c>
      <c r="C113" s="28" t="s">
        <v>350</v>
      </c>
      <c r="D113" s="28" t="s">
        <v>295</v>
      </c>
      <c r="E113" s="29"/>
      <c r="F113" s="29"/>
      <c r="G113" s="29"/>
      <c r="H113" s="30">
        <f>SUM(H111:H112)</f>
        <v>6.25</v>
      </c>
      <c r="I113" s="31"/>
      <c r="J113" s="31"/>
    </row>
    <row r="114" spans="1:10" x14ac:dyDescent="0.3">
      <c r="A114" s="31"/>
      <c r="B114" s="31"/>
      <c r="C114" s="31"/>
      <c r="D114" s="31"/>
      <c r="E114" s="31"/>
      <c r="F114" s="31"/>
      <c r="G114" s="31"/>
      <c r="H114" s="31"/>
      <c r="I114" s="31"/>
      <c r="J114" s="31"/>
    </row>
    <row r="115" spans="1:10" x14ac:dyDescent="0.3">
      <c r="A115" s="16" t="s">
        <v>351</v>
      </c>
      <c r="B115" s="16" t="s">
        <v>252</v>
      </c>
      <c r="C115" s="16" t="s">
        <v>253</v>
      </c>
      <c r="D115" s="16" t="s">
        <v>142</v>
      </c>
      <c r="E115" s="16" t="s">
        <v>143</v>
      </c>
      <c r="F115" s="16" t="s">
        <v>117</v>
      </c>
      <c r="G115" s="24">
        <v>1</v>
      </c>
      <c r="H115" s="25">
        <f>G115*IFERROR(INDEX('Item Master'!$E$4:$E$41,MATCH(D115,'Item Master'!$A$4:$A$41,0)),INDEX('Sub-Recipe'!$K$4:$K$200,MATCH(D115,'Sub-Recipe'!$A$4:$A$200,0)))</f>
        <v>4</v>
      </c>
      <c r="I115" s="26">
        <f>IFERROR(INDEX('Daily Sales'!$AK$5:$AK$30,MATCH($B115,'Daily Sales'!$A$5:$A$30,0)),0)</f>
        <v>53</v>
      </c>
      <c r="J115" s="17">
        <f>G115*I115</f>
        <v>53</v>
      </c>
    </row>
    <row r="116" spans="1:10" x14ac:dyDescent="0.3">
      <c r="A116" s="27" t="s">
        <v>351</v>
      </c>
      <c r="B116" s="27" t="s">
        <v>252</v>
      </c>
      <c r="C116" s="28" t="s">
        <v>352</v>
      </c>
      <c r="D116" s="28" t="s">
        <v>295</v>
      </c>
      <c r="E116" s="29"/>
      <c r="F116" s="29"/>
      <c r="G116" s="29"/>
      <c r="H116" s="30">
        <f>SUM(H115:H115)</f>
        <v>4</v>
      </c>
      <c r="I116" s="31"/>
      <c r="J116" s="31"/>
    </row>
    <row r="117" spans="1:10" x14ac:dyDescent="0.3">
      <c r="A117" s="31"/>
      <c r="B117" s="31"/>
      <c r="C117" s="31"/>
      <c r="D117" s="31"/>
      <c r="E117" s="31"/>
      <c r="F117" s="31"/>
      <c r="G117" s="31"/>
      <c r="H117" s="31"/>
      <c r="I117" s="31"/>
      <c r="J117" s="31"/>
    </row>
    <row r="118" spans="1:10" x14ac:dyDescent="0.3">
      <c r="A118" s="16" t="s">
        <v>353</v>
      </c>
      <c r="B118" s="16" t="s">
        <v>255</v>
      </c>
      <c r="C118" s="16" t="s">
        <v>256</v>
      </c>
      <c r="D118" s="16" t="s">
        <v>148</v>
      </c>
      <c r="E118" s="16" t="s">
        <v>149</v>
      </c>
      <c r="F118" s="16" t="s">
        <v>102</v>
      </c>
      <c r="G118" s="24">
        <v>0.03</v>
      </c>
      <c r="H118" s="25">
        <f>G118*IFERROR(INDEX('Item Master'!$E$4:$E$41,MATCH(D118,'Item Master'!$A$4:$A$41,0)),INDEX('Sub-Recipe'!$K$4:$K$200,MATCH(D118,'Sub-Recipe'!$A$4:$A$200,0)))</f>
        <v>10.5</v>
      </c>
      <c r="I118" s="26">
        <f>IFERROR(INDEX('Daily Sales'!$AK$5:$AK$30,MATCH($B118,'Daily Sales'!$A$5:$A$30,0)),0)</f>
        <v>52</v>
      </c>
      <c r="J118" s="17">
        <f>G118*I118</f>
        <v>1.56</v>
      </c>
    </row>
    <row r="119" spans="1:10" x14ac:dyDescent="0.3">
      <c r="A119" s="16" t="s">
        <v>353</v>
      </c>
      <c r="B119" s="16" t="s">
        <v>255</v>
      </c>
      <c r="C119" s="16" t="s">
        <v>256</v>
      </c>
      <c r="D119" s="16" t="s">
        <v>144</v>
      </c>
      <c r="E119" s="16" t="s">
        <v>145</v>
      </c>
      <c r="F119" s="16" t="s">
        <v>147</v>
      </c>
      <c r="G119" s="24">
        <v>0.2</v>
      </c>
      <c r="H119" s="25">
        <f>G119*IFERROR(INDEX('Item Master'!$E$4:$E$41,MATCH(D119,'Item Master'!$A$4:$A$41,0)),INDEX('Sub-Recipe'!$K$4:$K$200,MATCH(D119,'Sub-Recipe'!$A$4:$A$200,0)))</f>
        <v>13</v>
      </c>
      <c r="I119" s="26">
        <f>IFERROR(INDEX('Daily Sales'!$AK$5:$AK$30,MATCH($B119,'Daily Sales'!$A$5:$A$30,0)),0)</f>
        <v>52</v>
      </c>
      <c r="J119" s="17">
        <f>G119*I119</f>
        <v>10.4</v>
      </c>
    </row>
    <row r="120" spans="1:10" x14ac:dyDescent="0.3">
      <c r="A120" s="27" t="s">
        <v>353</v>
      </c>
      <c r="B120" s="27" t="s">
        <v>255</v>
      </c>
      <c r="C120" s="28" t="s">
        <v>354</v>
      </c>
      <c r="D120" s="28" t="s">
        <v>295</v>
      </c>
      <c r="E120" s="29"/>
      <c r="F120" s="29"/>
      <c r="G120" s="29"/>
      <c r="H120" s="30">
        <f>SUM(H118:H119)</f>
        <v>23.5</v>
      </c>
      <c r="I120" s="31"/>
      <c r="J120" s="31"/>
    </row>
    <row r="121" spans="1:10" x14ac:dyDescent="0.3">
      <c r="A121" s="31"/>
      <c r="B121" s="31"/>
      <c r="C121" s="31"/>
      <c r="D121" s="31"/>
      <c r="E121" s="31"/>
      <c r="F121" s="31"/>
      <c r="G121" s="31"/>
      <c r="H121" s="31"/>
      <c r="I121" s="31"/>
      <c r="J121" s="31"/>
    </row>
    <row r="122" spans="1:10" x14ac:dyDescent="0.3">
      <c r="A122" s="16" t="s">
        <v>355</v>
      </c>
      <c r="B122" s="16" t="s">
        <v>259</v>
      </c>
      <c r="C122" s="16" t="s">
        <v>260</v>
      </c>
      <c r="D122" s="16" t="s">
        <v>150</v>
      </c>
      <c r="E122" s="16" t="s">
        <v>151</v>
      </c>
      <c r="F122" s="16" t="s">
        <v>147</v>
      </c>
      <c r="G122" s="24">
        <v>0.05</v>
      </c>
      <c r="H122" s="25">
        <f>G122*IFERROR(INDEX('Item Master'!$E$4:$E$41,MATCH(D122,'Item Master'!$A$4:$A$41,0)),INDEX('Sub-Recipe'!$K$4:$K$200,MATCH(D122,'Sub-Recipe'!$A$4:$A$200,0)))</f>
        <v>47.5</v>
      </c>
      <c r="I122" s="26">
        <f>IFERROR(INDEX('Daily Sales'!$AK$5:$AK$30,MATCH($B122,'Daily Sales'!$A$5:$A$30,0)),0)</f>
        <v>59</v>
      </c>
      <c r="J122" s="17">
        <f>G122*I122</f>
        <v>2.95</v>
      </c>
    </row>
    <row r="123" spans="1:10" ht="27" x14ac:dyDescent="0.3">
      <c r="A123" s="16" t="s">
        <v>355</v>
      </c>
      <c r="B123" s="16" t="s">
        <v>259</v>
      </c>
      <c r="C123" s="16" t="s">
        <v>260</v>
      </c>
      <c r="D123" s="16" t="s">
        <v>356</v>
      </c>
      <c r="E123" s="16" t="s">
        <v>357</v>
      </c>
      <c r="F123" s="76" t="s">
        <v>358</v>
      </c>
      <c r="G123" s="24">
        <v>1</v>
      </c>
      <c r="H123" s="25">
        <f>G123*IFERROR(INDEX('Item Master'!$E$4:$E$41,MATCH(D123,'Item Master'!$A$4:$A$41,0)),INDEX('Sub-Recipe'!$K$4:$K$200,MATCH(D123,'Sub-Recipe'!$A$4:$A$200,0)))</f>
        <v>0</v>
      </c>
      <c r="I123" s="26">
        <f>IFERROR(INDEX('Daily Sales'!$AK$5:$AK$30,MATCH($B123,'Daily Sales'!$A$5:$A$30,0)),0)</f>
        <v>59</v>
      </c>
      <c r="J123" s="17">
        <f>G123*I123</f>
        <v>59</v>
      </c>
    </row>
    <row r="124" spans="1:10" x14ac:dyDescent="0.3">
      <c r="A124" s="16" t="s">
        <v>355</v>
      </c>
      <c r="B124" s="16" t="s">
        <v>259</v>
      </c>
      <c r="C124" s="16" t="s">
        <v>260</v>
      </c>
      <c r="D124" s="16" t="s">
        <v>160</v>
      </c>
      <c r="E124" s="16" t="s">
        <v>161</v>
      </c>
      <c r="F124" s="16" t="s">
        <v>147</v>
      </c>
      <c r="G124" s="24">
        <v>0.15</v>
      </c>
      <c r="H124" s="25">
        <f>G124*IFERROR(INDEX('Item Master'!$E$4:$E$41,MATCH(D124,'Item Master'!$A$4:$A$41,0)),INDEX('Sub-Recipe'!$K$4:$K$200,MATCH(D124,'Sub-Recipe'!$A$4:$A$200,0)))</f>
        <v>6.75</v>
      </c>
      <c r="I124" s="26">
        <f>IFERROR(INDEX('Daily Sales'!$AK$5:$AK$30,MATCH($B124,'Daily Sales'!$A$5:$A$30,0)),0)</f>
        <v>59</v>
      </c>
      <c r="J124" s="17">
        <f>G124*I124</f>
        <v>8.85</v>
      </c>
    </row>
    <row r="125" spans="1:10" x14ac:dyDescent="0.3">
      <c r="A125" s="27" t="s">
        <v>355</v>
      </c>
      <c r="B125" s="27" t="s">
        <v>259</v>
      </c>
      <c r="C125" s="28" t="s">
        <v>359</v>
      </c>
      <c r="D125" s="28" t="s">
        <v>295</v>
      </c>
      <c r="E125" s="29"/>
      <c r="F125" s="29"/>
      <c r="G125" s="29"/>
      <c r="H125" s="30">
        <f>SUM(H122:H124)</f>
        <v>54.25</v>
      </c>
      <c r="I125" s="31"/>
      <c r="J125" s="31"/>
    </row>
    <row r="126" spans="1:10" x14ac:dyDescent="0.3">
      <c r="A126" s="31"/>
      <c r="B126" s="31"/>
      <c r="C126" s="31"/>
      <c r="D126" s="31"/>
      <c r="E126" s="31"/>
      <c r="F126" s="31"/>
      <c r="G126" s="31"/>
      <c r="H126" s="31"/>
      <c r="I126" s="31"/>
      <c r="J126" s="31"/>
    </row>
    <row r="127" spans="1:10" x14ac:dyDescent="0.3">
      <c r="A127" s="16" t="s">
        <v>360</v>
      </c>
      <c r="B127" s="16" t="s">
        <v>263</v>
      </c>
      <c r="C127" s="16" t="s">
        <v>264</v>
      </c>
      <c r="D127" s="16" t="s">
        <v>150</v>
      </c>
      <c r="E127" s="16" t="s">
        <v>151</v>
      </c>
      <c r="F127" s="16" t="s">
        <v>147</v>
      </c>
      <c r="G127" s="24">
        <v>0.05</v>
      </c>
      <c r="H127" s="25">
        <f>G127*IFERROR(INDEX('Item Master'!$E$4:$E$41,MATCH(D127,'Item Master'!$A$4:$A$41,0)),INDEX('Sub-Recipe'!$K$4:$K$200,MATCH(D127,'Sub-Recipe'!$A$4:$A$200,0)))</f>
        <v>47.5</v>
      </c>
      <c r="I127" s="26">
        <f>IFERROR(INDEX('Daily Sales'!$AK$5:$AK$30,MATCH($B127,'Daily Sales'!$A$5:$A$30,0)),0)</f>
        <v>46</v>
      </c>
      <c r="J127" s="17">
        <f>G127*I127</f>
        <v>2.3000000000000003</v>
      </c>
    </row>
    <row r="128" spans="1:10" ht="27" x14ac:dyDescent="0.3">
      <c r="A128" s="16" t="s">
        <v>360</v>
      </c>
      <c r="B128" s="16" t="s">
        <v>263</v>
      </c>
      <c r="C128" s="16" t="s">
        <v>264</v>
      </c>
      <c r="D128" s="16" t="s">
        <v>356</v>
      </c>
      <c r="E128" s="16" t="s">
        <v>357</v>
      </c>
      <c r="F128" s="76" t="s">
        <v>358</v>
      </c>
      <c r="G128" s="24">
        <v>1</v>
      </c>
      <c r="H128" s="25">
        <f>G128*IFERROR(INDEX('Item Master'!$E$4:$E$41,MATCH(D128,'Item Master'!$A$4:$A$41,0)),INDEX('Sub-Recipe'!$K$4:$K$200,MATCH(D128,'Sub-Recipe'!$A$4:$A$200,0)))</f>
        <v>0</v>
      </c>
      <c r="I128" s="26">
        <f>IFERROR(INDEX('Daily Sales'!$AK$5:$AK$30,MATCH($B128,'Daily Sales'!$A$5:$A$30,0)),0)</f>
        <v>46</v>
      </c>
      <c r="J128" s="17">
        <f>G128*I128</f>
        <v>46</v>
      </c>
    </row>
    <row r="129" spans="1:10" x14ac:dyDescent="0.3">
      <c r="A129" s="16" t="s">
        <v>360</v>
      </c>
      <c r="B129" s="16" t="s">
        <v>263</v>
      </c>
      <c r="C129" s="16" t="s">
        <v>264</v>
      </c>
      <c r="D129" s="16" t="s">
        <v>156</v>
      </c>
      <c r="E129" s="16" t="s">
        <v>157</v>
      </c>
      <c r="F129" s="16" t="s">
        <v>102</v>
      </c>
      <c r="G129" s="24">
        <v>0.05</v>
      </c>
      <c r="H129" s="25">
        <f>G129*IFERROR(INDEX('Item Master'!$E$4:$E$41,MATCH(D129,'Item Master'!$A$4:$A$41,0)),INDEX('Sub-Recipe'!$K$4:$K$200,MATCH(D129,'Sub-Recipe'!$A$4:$A$200,0)))</f>
        <v>5</v>
      </c>
      <c r="I129" s="26">
        <f>IFERROR(INDEX('Daily Sales'!$AK$5:$AK$30,MATCH($B129,'Daily Sales'!$A$5:$A$30,0)),0)</f>
        <v>46</v>
      </c>
      <c r="J129" s="17">
        <f>G129*I129</f>
        <v>2.3000000000000003</v>
      </c>
    </row>
    <row r="130" spans="1:10" x14ac:dyDescent="0.3">
      <c r="A130" s="16" t="s">
        <v>360</v>
      </c>
      <c r="B130" s="16" t="s">
        <v>263</v>
      </c>
      <c r="C130" s="16" t="s">
        <v>264</v>
      </c>
      <c r="D130" s="16" t="s">
        <v>160</v>
      </c>
      <c r="E130" s="16" t="s">
        <v>161</v>
      </c>
      <c r="F130" s="16" t="s">
        <v>147</v>
      </c>
      <c r="G130" s="24">
        <v>0.15</v>
      </c>
      <c r="H130" s="25">
        <f>G130*IFERROR(INDEX('Item Master'!$E$4:$E$41,MATCH(D130,'Item Master'!$A$4:$A$41,0)),INDEX('Sub-Recipe'!$K$4:$K$200,MATCH(D130,'Sub-Recipe'!$A$4:$A$200,0)))</f>
        <v>6.75</v>
      </c>
      <c r="I130" s="26">
        <f>IFERROR(INDEX('Daily Sales'!$AK$5:$AK$30,MATCH($B130,'Daily Sales'!$A$5:$A$30,0)),0)</f>
        <v>46</v>
      </c>
      <c r="J130" s="17">
        <f>G130*I130</f>
        <v>6.8999999999999995</v>
      </c>
    </row>
    <row r="131" spans="1:10" x14ac:dyDescent="0.3">
      <c r="A131" s="27" t="s">
        <v>360</v>
      </c>
      <c r="B131" s="27" t="s">
        <v>263</v>
      </c>
      <c r="C131" s="28" t="s">
        <v>361</v>
      </c>
      <c r="D131" s="28" t="s">
        <v>295</v>
      </c>
      <c r="E131" s="29"/>
      <c r="F131" s="29"/>
      <c r="G131" s="29"/>
      <c r="H131" s="30">
        <f>SUM(H127:H130)</f>
        <v>59.25</v>
      </c>
      <c r="I131" s="31"/>
      <c r="J131" s="31"/>
    </row>
    <row r="132" spans="1:10" x14ac:dyDescent="0.3">
      <c r="A132" s="31"/>
      <c r="B132" s="31"/>
      <c r="C132" s="31"/>
      <c r="D132" s="31"/>
      <c r="E132" s="31"/>
      <c r="F132" s="31"/>
      <c r="G132" s="31"/>
      <c r="H132" s="31"/>
      <c r="I132" s="31"/>
      <c r="J132" s="31"/>
    </row>
    <row r="133" spans="1:10" x14ac:dyDescent="0.3">
      <c r="A133" s="16" t="s">
        <v>362</v>
      </c>
      <c r="B133" s="16" t="s">
        <v>266</v>
      </c>
      <c r="C133" s="16" t="s">
        <v>267</v>
      </c>
      <c r="D133" s="16" t="s">
        <v>158</v>
      </c>
      <c r="E133" s="16" t="s">
        <v>159</v>
      </c>
      <c r="F133" s="16" t="s">
        <v>102</v>
      </c>
      <c r="G133" s="24">
        <v>0.25</v>
      </c>
      <c r="H133" s="25">
        <f>G133*IFERROR(INDEX('Item Master'!$E$4:$E$41,MATCH(D133,'Item Master'!$A$4:$A$41,0)),INDEX('Sub-Recipe'!$K$4:$K$200,MATCH(D133,'Sub-Recipe'!$A$4:$A$200,0)))</f>
        <v>22.5</v>
      </c>
      <c r="I133" s="26">
        <f>IFERROR(INDEX('Daily Sales'!$AK$5:$AK$30,MATCH($B133,'Daily Sales'!$A$5:$A$30,0)),0)</f>
        <v>52</v>
      </c>
      <c r="J133" s="17">
        <f>G133*I133</f>
        <v>13</v>
      </c>
    </row>
    <row r="134" spans="1:10" x14ac:dyDescent="0.3">
      <c r="A134" s="16" t="s">
        <v>362</v>
      </c>
      <c r="B134" s="16" t="s">
        <v>266</v>
      </c>
      <c r="C134" s="16" t="s">
        <v>267</v>
      </c>
      <c r="D134" s="16" t="s">
        <v>144</v>
      </c>
      <c r="E134" s="16" t="s">
        <v>145</v>
      </c>
      <c r="F134" s="16" t="s">
        <v>147</v>
      </c>
      <c r="G134" s="24">
        <v>0.1</v>
      </c>
      <c r="H134" s="25">
        <f>G134*IFERROR(INDEX('Item Master'!$E$4:$E$41,MATCH(D134,'Item Master'!$A$4:$A$41,0)),INDEX('Sub-Recipe'!$K$4:$K$200,MATCH(D134,'Sub-Recipe'!$A$4:$A$200,0)))</f>
        <v>6.5</v>
      </c>
      <c r="I134" s="26">
        <f>IFERROR(INDEX('Daily Sales'!$AK$5:$AK$30,MATCH($B134,'Daily Sales'!$A$5:$A$30,0)),0)</f>
        <v>52</v>
      </c>
      <c r="J134" s="17">
        <f>G134*I134</f>
        <v>5.2</v>
      </c>
    </row>
    <row r="135" spans="1:10" x14ac:dyDescent="0.3">
      <c r="A135" s="16" t="s">
        <v>362</v>
      </c>
      <c r="B135" s="16" t="s">
        <v>266</v>
      </c>
      <c r="C135" s="16" t="s">
        <v>267</v>
      </c>
      <c r="D135" s="16" t="s">
        <v>178</v>
      </c>
      <c r="E135" s="16" t="s">
        <v>179</v>
      </c>
      <c r="F135" s="16" t="s">
        <v>102</v>
      </c>
      <c r="G135" s="24">
        <v>0.02</v>
      </c>
      <c r="H135" s="25">
        <f>G135*IFERROR(INDEX('Item Master'!$E$4:$E$41,MATCH(D135,'Item Master'!$A$4:$A$41,0)),INDEX('Sub-Recipe'!$K$4:$K$200,MATCH(D135,'Sub-Recipe'!$A$4:$A$200,0)))</f>
        <v>1.2</v>
      </c>
      <c r="I135" s="26">
        <f>IFERROR(INDEX('Daily Sales'!$AK$5:$AK$30,MATCH($B135,'Daily Sales'!$A$5:$A$30,0)),0)</f>
        <v>52</v>
      </c>
      <c r="J135" s="17">
        <f>G135*I135</f>
        <v>1.04</v>
      </c>
    </row>
    <row r="136" spans="1:10" x14ac:dyDescent="0.3">
      <c r="A136" s="27" t="s">
        <v>362</v>
      </c>
      <c r="B136" s="27" t="s">
        <v>266</v>
      </c>
      <c r="C136" s="28" t="s">
        <v>363</v>
      </c>
      <c r="D136" s="28" t="s">
        <v>295</v>
      </c>
      <c r="E136" s="29"/>
      <c r="F136" s="29"/>
      <c r="G136" s="29"/>
      <c r="H136" s="30">
        <f>SUM(H133:H135)</f>
        <v>30.2</v>
      </c>
      <c r="I136" s="31"/>
      <c r="J136" s="31"/>
    </row>
    <row r="137" spans="1:10" x14ac:dyDescent="0.3">
      <c r="A137" s="31"/>
      <c r="B137" s="31"/>
      <c r="C137" s="31"/>
      <c r="D137" s="31"/>
      <c r="E137" s="31"/>
      <c r="F137" s="31"/>
      <c r="G137" s="31"/>
      <c r="H137" s="31"/>
      <c r="I137" s="31"/>
      <c r="J137" s="31"/>
    </row>
    <row r="138" spans="1:10" x14ac:dyDescent="0.3">
      <c r="A138" s="16" t="s">
        <v>364</v>
      </c>
      <c r="B138" s="16" t="s">
        <v>270</v>
      </c>
      <c r="C138" s="16" t="s">
        <v>271</v>
      </c>
      <c r="D138" s="16" t="s">
        <v>163</v>
      </c>
      <c r="E138" s="16" t="s">
        <v>164</v>
      </c>
      <c r="F138" s="16" t="s">
        <v>166</v>
      </c>
      <c r="G138" s="24">
        <v>1</v>
      </c>
      <c r="H138" s="25">
        <f>G138*IFERROR(INDEX('Item Master'!$E$4:$E$41,MATCH(D138,'Item Master'!$A$4:$A$41,0)),INDEX('Sub-Recipe'!$K$4:$K$200,MATCH(D138,'Sub-Recipe'!$A$4:$A$200,0)))</f>
        <v>35</v>
      </c>
      <c r="I138" s="26">
        <f>IFERROR(INDEX('Daily Sales'!$AK$5:$AK$30,MATCH($B138,'Daily Sales'!$A$5:$A$30,0)),0)</f>
        <v>103</v>
      </c>
      <c r="J138" s="17">
        <f>G138*I138</f>
        <v>103</v>
      </c>
    </row>
    <row r="139" spans="1:10" x14ac:dyDescent="0.3">
      <c r="A139" s="27" t="s">
        <v>364</v>
      </c>
      <c r="B139" s="27" t="s">
        <v>270</v>
      </c>
      <c r="C139" s="28" t="s">
        <v>365</v>
      </c>
      <c r="D139" s="28" t="s">
        <v>295</v>
      </c>
      <c r="E139" s="29"/>
      <c r="F139" s="29"/>
      <c r="G139" s="29"/>
      <c r="H139" s="30">
        <f>SUM(H138:H138)</f>
        <v>35</v>
      </c>
      <c r="I139" s="31"/>
      <c r="J139" s="31"/>
    </row>
    <row r="140" spans="1:10" x14ac:dyDescent="0.3">
      <c r="A140" s="31"/>
      <c r="B140" s="31"/>
      <c r="C140" s="31"/>
      <c r="D140" s="31"/>
      <c r="E140" s="31"/>
      <c r="F140" s="31"/>
      <c r="G140" s="31"/>
      <c r="H140" s="31"/>
      <c r="I140" s="31"/>
      <c r="J140" s="31"/>
    </row>
    <row r="141" spans="1:10" x14ac:dyDescent="0.3">
      <c r="A141" s="16" t="s">
        <v>366</v>
      </c>
      <c r="B141" s="16" t="s">
        <v>273</v>
      </c>
      <c r="C141" s="16" t="s">
        <v>169</v>
      </c>
      <c r="D141" s="16" t="s">
        <v>168</v>
      </c>
      <c r="E141" s="16" t="s">
        <v>169</v>
      </c>
      <c r="F141" s="16" t="s">
        <v>117</v>
      </c>
      <c r="G141" s="24">
        <v>1</v>
      </c>
      <c r="H141" s="25">
        <f>G141*IFERROR(INDEX('Item Master'!$E$4:$E$41,MATCH(D141,'Item Master'!$A$4:$A$41,0)),INDEX('Sub-Recipe'!$K$4:$K$200,MATCH(D141,'Sub-Recipe'!$A$4:$A$200,0)))</f>
        <v>8</v>
      </c>
      <c r="I141" s="26">
        <f>IFERROR(INDEX('Daily Sales'!$AK$5:$AK$30,MATCH($B141,'Daily Sales'!$A$5:$A$30,0)),0)</f>
        <v>29</v>
      </c>
      <c r="J141" s="17">
        <f>G141*I141</f>
        <v>29</v>
      </c>
    </row>
    <row r="142" spans="1:10" x14ac:dyDescent="0.3">
      <c r="A142" s="27" t="s">
        <v>366</v>
      </c>
      <c r="B142" s="27" t="s">
        <v>273</v>
      </c>
      <c r="C142" s="28" t="s">
        <v>367</v>
      </c>
      <c r="D142" s="28" t="s">
        <v>295</v>
      </c>
      <c r="E142" s="29"/>
      <c r="F142" s="29"/>
      <c r="G142" s="29"/>
      <c r="H142" s="30">
        <f>SUM(H141:H141)</f>
        <v>8</v>
      </c>
      <c r="I142" s="31"/>
      <c r="J142" s="31"/>
    </row>
    <row r="143" spans="1:10" x14ac:dyDescent="0.3">
      <c r="A143" s="31"/>
      <c r="B143" s="31"/>
      <c r="C143" s="31"/>
      <c r="D143" s="31"/>
      <c r="E143" s="31"/>
      <c r="F143" s="31"/>
      <c r="G143" s="31"/>
      <c r="H143" s="31"/>
      <c r="I143" s="31"/>
      <c r="J143" s="31"/>
    </row>
    <row r="144" spans="1:10" x14ac:dyDescent="0.3">
      <c r="A144" s="16" t="s">
        <v>368</v>
      </c>
      <c r="B144" s="16" t="s">
        <v>276</v>
      </c>
      <c r="C144" s="16" t="s">
        <v>172</v>
      </c>
      <c r="D144" s="16" t="s">
        <v>171</v>
      </c>
      <c r="E144" s="16" t="s">
        <v>172</v>
      </c>
      <c r="F144" s="16" t="s">
        <v>117</v>
      </c>
      <c r="G144" s="24">
        <v>1</v>
      </c>
      <c r="H144" s="25">
        <f>G144*IFERROR(INDEX('Item Master'!$E$4:$E$41,MATCH(D144,'Item Master'!$A$4:$A$41,0)),INDEX('Sub-Recipe'!$K$4:$K$200,MATCH(D144,'Sub-Recipe'!$A$4:$A$200,0)))</f>
        <v>15</v>
      </c>
      <c r="I144" s="26">
        <f>IFERROR(INDEX('Daily Sales'!$AK$5:$AK$30,MATCH($B144,'Daily Sales'!$A$5:$A$30,0)),0)</f>
        <v>24</v>
      </c>
      <c r="J144" s="17">
        <f>G144*I144</f>
        <v>24</v>
      </c>
    </row>
    <row r="145" spans="1:10" x14ac:dyDescent="0.3">
      <c r="A145" s="27" t="s">
        <v>368</v>
      </c>
      <c r="B145" s="27" t="s">
        <v>276</v>
      </c>
      <c r="C145" s="28" t="s">
        <v>369</v>
      </c>
      <c r="D145" s="28" t="s">
        <v>295</v>
      </c>
      <c r="E145" s="29"/>
      <c r="F145" s="29"/>
      <c r="G145" s="29"/>
      <c r="H145" s="30">
        <f>SUM(H144:H144)</f>
        <v>15</v>
      </c>
      <c r="I145" s="31"/>
      <c r="J145" s="31"/>
    </row>
    <row r="146" spans="1:10" x14ac:dyDescent="0.3">
      <c r="A146" s="31"/>
      <c r="B146" s="31"/>
      <c r="C146" s="31"/>
      <c r="D146" s="31"/>
      <c r="E146" s="31"/>
      <c r="F146" s="31"/>
      <c r="G146" s="31"/>
      <c r="H146" s="31"/>
      <c r="I146" s="31"/>
      <c r="J146" s="31"/>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E7C7B"/>
  </sheetPr>
  <dimension ref="A1:N67"/>
  <sheetViews>
    <sheetView showGridLines="0" topLeftCell="C1" zoomScaleNormal="100" workbookViewId="0">
      <pane ySplit="3" topLeftCell="A4" activePane="bottomLeft" state="frozen"/>
      <selection pane="bottomLeft" activeCell="K10" sqref="K10"/>
    </sheetView>
  </sheetViews>
  <sheetFormatPr defaultColWidth="8.6640625" defaultRowHeight="14.4" x14ac:dyDescent="0.3"/>
  <cols>
    <col min="1" max="1" width="13" customWidth="1"/>
    <col min="2" max="2" width="16" customWidth="1"/>
    <col min="3" max="3" width="30" customWidth="1"/>
    <col min="4" max="4" width="10" customWidth="1"/>
    <col min="5" max="5" width="30" customWidth="1"/>
    <col min="6" max="6" width="16" customWidth="1"/>
    <col min="7" max="7" width="8" customWidth="1"/>
    <col min="8" max="9" width="12" customWidth="1"/>
    <col min="10" max="11" width="14" customWidth="1"/>
    <col min="12" max="12" width="16" customWidth="1"/>
    <col min="13" max="13" width="14" customWidth="1"/>
    <col min="14" max="14" width="18" customWidth="1"/>
  </cols>
  <sheetData>
    <row r="1" spans="1:14" ht="25.5" customHeight="1" x14ac:dyDescent="0.3">
      <c r="A1" s="14" t="s">
        <v>370</v>
      </c>
      <c r="B1" s="14"/>
      <c r="C1" s="14"/>
      <c r="D1" s="14"/>
      <c r="E1" s="14"/>
      <c r="F1" s="14"/>
      <c r="G1" s="14"/>
      <c r="H1" s="14"/>
      <c r="I1" s="14"/>
      <c r="J1" s="14"/>
      <c r="K1" s="14"/>
      <c r="L1" s="14"/>
      <c r="M1" s="14"/>
      <c r="N1" s="14"/>
    </row>
    <row r="2" spans="1:14" x14ac:dyDescent="0.3">
      <c r="A2" s="13" t="s">
        <v>371</v>
      </c>
      <c r="B2" s="13"/>
      <c r="C2" s="13"/>
      <c r="D2" s="13"/>
      <c r="E2" s="13"/>
      <c r="F2" s="13"/>
      <c r="G2" s="13"/>
      <c r="H2" s="13"/>
      <c r="I2" s="13"/>
      <c r="J2" s="13"/>
      <c r="K2" s="13"/>
      <c r="L2" s="13"/>
      <c r="M2" s="13"/>
      <c r="N2" s="13"/>
    </row>
    <row r="3" spans="1:14" ht="35.4" customHeight="1" x14ac:dyDescent="0.3">
      <c r="A3" s="15" t="s">
        <v>372</v>
      </c>
      <c r="B3" s="15" t="s">
        <v>373</v>
      </c>
      <c r="C3" s="15" t="s">
        <v>374</v>
      </c>
      <c r="D3" s="15" t="s">
        <v>93</v>
      </c>
      <c r="E3" s="15" t="s">
        <v>286</v>
      </c>
      <c r="F3" s="15" t="s">
        <v>96</v>
      </c>
      <c r="G3" s="15" t="s">
        <v>287</v>
      </c>
      <c r="H3" s="15" t="s">
        <v>288</v>
      </c>
      <c r="I3" s="15" t="s">
        <v>375</v>
      </c>
      <c r="J3" s="15" t="s">
        <v>376</v>
      </c>
      <c r="K3" s="15" t="s">
        <v>377</v>
      </c>
      <c r="L3" s="15" t="s">
        <v>378</v>
      </c>
      <c r="M3" s="15" t="s">
        <v>379</v>
      </c>
      <c r="N3" s="15" t="s">
        <v>380</v>
      </c>
    </row>
    <row r="4" spans="1:14" x14ac:dyDescent="0.3">
      <c r="A4" s="16" t="s">
        <v>292</v>
      </c>
      <c r="B4" s="16" t="s">
        <v>381</v>
      </c>
      <c r="C4" s="16" t="s">
        <v>382</v>
      </c>
      <c r="D4" s="16" t="s">
        <v>118</v>
      </c>
      <c r="E4" s="16" t="s">
        <v>119</v>
      </c>
      <c r="F4" s="16" t="s">
        <v>102</v>
      </c>
      <c r="G4" s="24">
        <v>1</v>
      </c>
      <c r="H4" s="25">
        <f>G4*IFERROR(INDEX('Item Master'!$E$4:$E$41,MATCH(D4,'Item Master'!$A$4:$A$41,0)),0)</f>
        <v>55</v>
      </c>
      <c r="I4" s="31"/>
      <c r="J4" s="31"/>
      <c r="K4" s="31"/>
      <c r="L4" s="31"/>
      <c r="M4" s="31"/>
      <c r="N4" s="17">
        <f t="shared" ref="N4:N9" si="0">G4*$M$10</f>
        <v>6.6</v>
      </c>
    </row>
    <row r="5" spans="1:14" x14ac:dyDescent="0.3">
      <c r="A5" s="16" t="s">
        <v>292</v>
      </c>
      <c r="B5" s="16" t="s">
        <v>381</v>
      </c>
      <c r="C5" s="16" t="s">
        <v>382</v>
      </c>
      <c r="D5" s="16" t="s">
        <v>185</v>
      </c>
      <c r="E5" s="16" t="s">
        <v>186</v>
      </c>
      <c r="F5" s="16" t="s">
        <v>102</v>
      </c>
      <c r="G5" s="24">
        <v>0.02</v>
      </c>
      <c r="H5" s="25">
        <f>G5*IFERROR(INDEX('Item Master'!$E$4:$E$41,MATCH(D5,'Item Master'!$A$4:$A$41,0)),0)</f>
        <v>8</v>
      </c>
      <c r="I5" s="31"/>
      <c r="J5" s="31"/>
      <c r="K5" s="31"/>
      <c r="L5" s="31"/>
      <c r="M5" s="31"/>
      <c r="N5" s="17">
        <f t="shared" si="0"/>
        <v>0.13200000000000001</v>
      </c>
    </row>
    <row r="6" spans="1:14" x14ac:dyDescent="0.3">
      <c r="A6" s="16" t="s">
        <v>292</v>
      </c>
      <c r="B6" s="16" t="s">
        <v>381</v>
      </c>
      <c r="C6" s="16" t="s">
        <v>382</v>
      </c>
      <c r="D6" s="16" t="s">
        <v>121</v>
      </c>
      <c r="E6" s="16" t="s">
        <v>122</v>
      </c>
      <c r="F6" s="16" t="s">
        <v>102</v>
      </c>
      <c r="G6" s="24">
        <v>0.08</v>
      </c>
      <c r="H6" s="25">
        <f>G6*IFERROR(INDEX('Item Master'!$E$4:$E$41,MATCH(D6,'Item Master'!$A$4:$A$41,0)),0)</f>
        <v>38.4</v>
      </c>
      <c r="I6" s="31"/>
      <c r="J6" s="31"/>
      <c r="K6" s="31"/>
      <c r="L6" s="31"/>
      <c r="M6" s="31"/>
      <c r="N6" s="17">
        <f t="shared" si="0"/>
        <v>0.52800000000000002</v>
      </c>
    </row>
    <row r="7" spans="1:14" x14ac:dyDescent="0.3">
      <c r="A7" s="16" t="s">
        <v>292</v>
      </c>
      <c r="B7" s="16" t="s">
        <v>381</v>
      </c>
      <c r="C7" s="16" t="s">
        <v>382</v>
      </c>
      <c r="D7" s="16" t="s">
        <v>178</v>
      </c>
      <c r="E7" s="16" t="s">
        <v>179</v>
      </c>
      <c r="F7" s="16" t="s">
        <v>102</v>
      </c>
      <c r="G7" s="24">
        <v>0.05</v>
      </c>
      <c r="H7" s="25">
        <f>G7*IFERROR(INDEX('Item Master'!$E$4:$E$41,MATCH(D7,'Item Master'!$A$4:$A$41,0)),0)</f>
        <v>3</v>
      </c>
      <c r="I7" s="31"/>
      <c r="J7" s="31"/>
      <c r="K7" s="31"/>
      <c r="L7" s="31"/>
      <c r="M7" s="31"/>
      <c r="N7" s="17">
        <f t="shared" si="0"/>
        <v>0.33</v>
      </c>
    </row>
    <row r="8" spans="1:14" x14ac:dyDescent="0.3">
      <c r="A8" s="16" t="s">
        <v>292</v>
      </c>
      <c r="B8" s="16" t="s">
        <v>381</v>
      </c>
      <c r="C8" s="16" t="s">
        <v>382</v>
      </c>
      <c r="D8" s="16" t="s">
        <v>181</v>
      </c>
      <c r="E8" s="16" t="s">
        <v>182</v>
      </c>
      <c r="F8" s="16" t="s">
        <v>102</v>
      </c>
      <c r="G8" s="24">
        <v>1.4999999999999999E-2</v>
      </c>
      <c r="H8" s="25">
        <f>G8*IFERROR(INDEX('Item Master'!$E$4:$E$41,MATCH(D8,'Item Master'!$A$4:$A$41,0)),0)</f>
        <v>0.375</v>
      </c>
      <c r="I8" s="31"/>
      <c r="J8" s="31"/>
      <c r="K8" s="31"/>
      <c r="L8" s="31"/>
      <c r="M8" s="31"/>
      <c r="N8" s="17">
        <f t="shared" si="0"/>
        <v>9.8999999999999991E-2</v>
      </c>
    </row>
    <row r="9" spans="1:14" x14ac:dyDescent="0.3">
      <c r="A9" s="16" t="s">
        <v>292</v>
      </c>
      <c r="B9" s="16" t="s">
        <v>381</v>
      </c>
      <c r="C9" s="16" t="s">
        <v>382</v>
      </c>
      <c r="D9" s="16" t="s">
        <v>123</v>
      </c>
      <c r="E9" s="16" t="s">
        <v>124</v>
      </c>
      <c r="F9" s="16" t="s">
        <v>117</v>
      </c>
      <c r="G9" s="24">
        <v>1</v>
      </c>
      <c r="H9" s="25">
        <f>G9*IFERROR(INDEX('Item Master'!$E$4:$E$41,MATCH(D9,'Item Master'!$A$4:$A$41,0)),0)</f>
        <v>8</v>
      </c>
      <c r="I9" s="31"/>
      <c r="J9" s="31"/>
      <c r="K9" s="31"/>
      <c r="L9" s="31"/>
      <c r="M9" s="31"/>
      <c r="N9" s="17">
        <f t="shared" si="0"/>
        <v>6.6</v>
      </c>
    </row>
    <row r="10" spans="1:14" x14ac:dyDescent="0.3">
      <c r="A10" s="27" t="s">
        <v>292</v>
      </c>
      <c r="B10" s="29"/>
      <c r="C10" s="28" t="s">
        <v>383</v>
      </c>
      <c r="D10" s="28" t="s">
        <v>295</v>
      </c>
      <c r="E10" s="29"/>
      <c r="F10" s="29"/>
      <c r="G10" s="29"/>
      <c r="H10" s="30">
        <f>SUM(H4:H9)</f>
        <v>112.77500000000001</v>
      </c>
      <c r="I10" s="32">
        <v>20</v>
      </c>
      <c r="J10" s="28" t="s">
        <v>117</v>
      </c>
      <c r="K10" s="33">
        <f>IFERROR(H10/I10,0)</f>
        <v>5.6387499999999999</v>
      </c>
      <c r="L10" s="34">
        <f>SUMIF('Recipe Master'!$D$4:$D$146,A10,'Recipe Master'!$J$4:$J$146)</f>
        <v>132</v>
      </c>
      <c r="M10" s="35">
        <f>IFERROR(L10/I10,0)</f>
        <v>6.6</v>
      </c>
      <c r="N10" s="29"/>
    </row>
    <row r="11" spans="1:14" x14ac:dyDescent="0.3">
      <c r="A11" s="31"/>
      <c r="B11" s="31"/>
      <c r="C11" s="31"/>
      <c r="D11" s="31"/>
      <c r="E11" s="31"/>
      <c r="F11" s="31"/>
      <c r="G11" s="31"/>
      <c r="H11" s="31"/>
      <c r="I11" s="31"/>
      <c r="J11" s="31"/>
      <c r="K11" s="31"/>
      <c r="L11" s="31"/>
      <c r="M11" s="31"/>
      <c r="N11" s="31"/>
    </row>
    <row r="12" spans="1:14" x14ac:dyDescent="0.3">
      <c r="A12" s="16" t="s">
        <v>306</v>
      </c>
      <c r="B12" s="16" t="s">
        <v>384</v>
      </c>
      <c r="C12" s="16" t="s">
        <v>385</v>
      </c>
      <c r="D12" s="16" t="s">
        <v>118</v>
      </c>
      <c r="E12" s="16" t="s">
        <v>119</v>
      </c>
      <c r="F12" s="16" t="s">
        <v>102</v>
      </c>
      <c r="G12" s="24">
        <v>1</v>
      </c>
      <c r="H12" s="25">
        <f>G12*IFERROR(INDEX('Item Master'!$E$4:$E$41,MATCH(D12,'Item Master'!$A$4:$A$41,0)),0)</f>
        <v>55</v>
      </c>
      <c r="I12" s="31"/>
      <c r="J12" s="31"/>
      <c r="K12" s="31"/>
      <c r="L12" s="31"/>
      <c r="M12" s="31"/>
      <c r="N12" s="17">
        <f>G12*$M$17</f>
        <v>16.399999999999999</v>
      </c>
    </row>
    <row r="13" spans="1:14" x14ac:dyDescent="0.3">
      <c r="A13" s="16" t="s">
        <v>306</v>
      </c>
      <c r="B13" s="16" t="s">
        <v>384</v>
      </c>
      <c r="C13" s="16" t="s">
        <v>385</v>
      </c>
      <c r="D13" s="16" t="s">
        <v>185</v>
      </c>
      <c r="E13" s="16" t="s">
        <v>186</v>
      </c>
      <c r="F13" s="16" t="s">
        <v>102</v>
      </c>
      <c r="G13" s="24">
        <v>0.02</v>
      </c>
      <c r="H13" s="25">
        <f>G13*IFERROR(INDEX('Item Master'!$E$4:$E$41,MATCH(D13,'Item Master'!$A$4:$A$41,0)),0)</f>
        <v>8</v>
      </c>
      <c r="I13" s="31"/>
      <c r="J13" s="31"/>
      <c r="K13" s="31"/>
      <c r="L13" s="31"/>
      <c r="M13" s="31"/>
      <c r="N13" s="17">
        <f>G13*$M$17</f>
        <v>0.32799999999999996</v>
      </c>
    </row>
    <row r="14" spans="1:14" x14ac:dyDescent="0.3">
      <c r="A14" s="16" t="s">
        <v>306</v>
      </c>
      <c r="B14" s="16" t="s">
        <v>384</v>
      </c>
      <c r="C14" s="16" t="s">
        <v>385</v>
      </c>
      <c r="D14" s="16" t="s">
        <v>121</v>
      </c>
      <c r="E14" s="16" t="s">
        <v>122</v>
      </c>
      <c r="F14" s="16" t="s">
        <v>102</v>
      </c>
      <c r="G14" s="24">
        <v>0.05</v>
      </c>
      <c r="H14" s="25">
        <f>G14*IFERROR(INDEX('Item Master'!$E$4:$E$41,MATCH(D14,'Item Master'!$A$4:$A$41,0)),0)</f>
        <v>24</v>
      </c>
      <c r="I14" s="31"/>
      <c r="J14" s="31"/>
      <c r="K14" s="31"/>
      <c r="L14" s="31"/>
      <c r="M14" s="31"/>
      <c r="N14" s="17">
        <f>G14*$M$17</f>
        <v>0.82</v>
      </c>
    </row>
    <row r="15" spans="1:14" x14ac:dyDescent="0.3">
      <c r="A15" s="16" t="s">
        <v>306</v>
      </c>
      <c r="B15" s="16" t="s">
        <v>384</v>
      </c>
      <c r="C15" s="16" t="s">
        <v>385</v>
      </c>
      <c r="D15" s="16" t="s">
        <v>181</v>
      </c>
      <c r="E15" s="16" t="s">
        <v>182</v>
      </c>
      <c r="F15" s="16" t="s">
        <v>102</v>
      </c>
      <c r="G15" s="24">
        <v>1.4999999999999999E-2</v>
      </c>
      <c r="H15" s="25">
        <f>G15*IFERROR(INDEX('Item Master'!$E$4:$E$41,MATCH(D15,'Item Master'!$A$4:$A$41,0)),0)</f>
        <v>0.375</v>
      </c>
      <c r="I15" s="31"/>
      <c r="J15" s="31"/>
      <c r="K15" s="31"/>
      <c r="L15" s="31"/>
      <c r="M15" s="31"/>
      <c r="N15" s="17">
        <f>G15*$M$17</f>
        <v>0.24599999999999997</v>
      </c>
    </row>
    <row r="16" spans="1:14" x14ac:dyDescent="0.3">
      <c r="A16" s="16" t="s">
        <v>306</v>
      </c>
      <c r="B16" s="16" t="s">
        <v>384</v>
      </c>
      <c r="C16" s="16" t="s">
        <v>385</v>
      </c>
      <c r="D16" s="16" t="s">
        <v>178</v>
      </c>
      <c r="E16" s="16" t="s">
        <v>179</v>
      </c>
      <c r="F16" s="16" t="s">
        <v>102</v>
      </c>
      <c r="G16" s="24">
        <v>0.02</v>
      </c>
      <c r="H16" s="25">
        <f>G16*IFERROR(INDEX('Item Master'!$E$4:$E$41,MATCH(D16,'Item Master'!$A$4:$A$41,0)),0)</f>
        <v>1.2</v>
      </c>
      <c r="I16" s="31"/>
      <c r="J16" s="31"/>
      <c r="K16" s="31"/>
      <c r="L16" s="31"/>
      <c r="M16" s="31"/>
      <c r="N16" s="17">
        <f>G16*$M$17</f>
        <v>0.32799999999999996</v>
      </c>
    </row>
    <row r="17" spans="1:14" x14ac:dyDescent="0.3">
      <c r="A17" s="27" t="s">
        <v>306</v>
      </c>
      <c r="B17" s="29"/>
      <c r="C17" s="28" t="s">
        <v>386</v>
      </c>
      <c r="D17" s="28" t="s">
        <v>295</v>
      </c>
      <c r="E17" s="29"/>
      <c r="F17" s="29"/>
      <c r="G17" s="29"/>
      <c r="H17" s="30">
        <f>SUM(H12:H16)</f>
        <v>88.575000000000003</v>
      </c>
      <c r="I17" s="32">
        <v>20</v>
      </c>
      <c r="J17" s="28" t="s">
        <v>308</v>
      </c>
      <c r="K17" s="33">
        <f>IFERROR(H17/I17,0)</f>
        <v>4.42875</v>
      </c>
      <c r="L17" s="34">
        <f>SUMIF('Recipe Master'!$D$4:$D$146,A17,'Recipe Master'!$J$4:$J$146)</f>
        <v>328</v>
      </c>
      <c r="M17" s="35">
        <f>IFERROR(L17/I17,0)</f>
        <v>16.399999999999999</v>
      </c>
      <c r="N17" s="29"/>
    </row>
    <row r="18" spans="1:14" x14ac:dyDescent="0.3">
      <c r="A18" s="31"/>
      <c r="B18" s="31"/>
      <c r="C18" s="31"/>
      <c r="D18" s="31"/>
      <c r="E18" s="31"/>
      <c r="F18" s="31"/>
      <c r="G18" s="31"/>
      <c r="H18" s="31"/>
      <c r="I18" s="31"/>
      <c r="J18" s="31"/>
      <c r="K18" s="31"/>
      <c r="L18" s="31"/>
      <c r="M18" s="31"/>
      <c r="N18" s="31"/>
    </row>
    <row r="19" spans="1:14" x14ac:dyDescent="0.3">
      <c r="A19" s="16" t="s">
        <v>325</v>
      </c>
      <c r="B19" s="16" t="s">
        <v>387</v>
      </c>
      <c r="C19" s="16" t="s">
        <v>388</v>
      </c>
      <c r="D19" s="16" t="s">
        <v>118</v>
      </c>
      <c r="E19" s="16" t="s">
        <v>119</v>
      </c>
      <c r="F19" s="16" t="s">
        <v>102</v>
      </c>
      <c r="G19" s="24">
        <v>1</v>
      </c>
      <c r="H19" s="25">
        <f>G19*IFERROR(INDEX('Item Master'!$E$4:$E$41,MATCH(D19,'Item Master'!$A$4:$A$41,0)),0)</f>
        <v>55</v>
      </c>
      <c r="I19" s="31"/>
      <c r="J19" s="31"/>
      <c r="K19" s="31"/>
      <c r="L19" s="31"/>
      <c r="M19" s="31"/>
      <c r="N19" s="17">
        <f>G19*$M$24</f>
        <v>11.2</v>
      </c>
    </row>
    <row r="20" spans="1:14" x14ac:dyDescent="0.3">
      <c r="A20" s="16" t="s">
        <v>325</v>
      </c>
      <c r="B20" s="16" t="s">
        <v>387</v>
      </c>
      <c r="C20" s="16" t="s">
        <v>388</v>
      </c>
      <c r="D20" s="16" t="s">
        <v>121</v>
      </c>
      <c r="E20" s="16" t="s">
        <v>122</v>
      </c>
      <c r="F20" s="16" t="s">
        <v>102</v>
      </c>
      <c r="G20" s="24">
        <v>0.5</v>
      </c>
      <c r="H20" s="25">
        <f>G20*IFERROR(INDEX('Item Master'!$E$4:$E$41,MATCH(D20,'Item Master'!$A$4:$A$41,0)),0)</f>
        <v>240</v>
      </c>
      <c r="I20" s="31"/>
      <c r="J20" s="31"/>
      <c r="K20" s="31"/>
      <c r="L20" s="31"/>
      <c r="M20" s="31"/>
      <c r="N20" s="17">
        <f>G20*$M$24</f>
        <v>5.6</v>
      </c>
    </row>
    <row r="21" spans="1:14" x14ac:dyDescent="0.3">
      <c r="A21" s="16" t="s">
        <v>325</v>
      </c>
      <c r="B21" s="16" t="s">
        <v>387</v>
      </c>
      <c r="C21" s="16" t="s">
        <v>388</v>
      </c>
      <c r="D21" s="16" t="s">
        <v>178</v>
      </c>
      <c r="E21" s="16" t="s">
        <v>179</v>
      </c>
      <c r="F21" s="16" t="s">
        <v>102</v>
      </c>
      <c r="G21" s="24">
        <v>0.05</v>
      </c>
      <c r="H21" s="25">
        <f>G21*IFERROR(INDEX('Item Master'!$E$4:$E$41,MATCH(D21,'Item Master'!$A$4:$A$41,0)),0)</f>
        <v>3</v>
      </c>
      <c r="I21" s="31"/>
      <c r="J21" s="31"/>
      <c r="K21" s="31"/>
      <c r="L21" s="31"/>
      <c r="M21" s="31"/>
      <c r="N21" s="17">
        <f>G21*$M$24</f>
        <v>0.55999999999999994</v>
      </c>
    </row>
    <row r="22" spans="1:14" x14ac:dyDescent="0.3">
      <c r="A22" s="16" t="s">
        <v>325</v>
      </c>
      <c r="B22" s="16" t="s">
        <v>387</v>
      </c>
      <c r="C22" s="16" t="s">
        <v>388</v>
      </c>
      <c r="D22" s="16" t="s">
        <v>185</v>
      </c>
      <c r="E22" s="16" t="s">
        <v>186</v>
      </c>
      <c r="F22" s="16" t="s">
        <v>102</v>
      </c>
      <c r="G22" s="24">
        <v>0.02</v>
      </c>
      <c r="H22" s="25">
        <f>G22*IFERROR(INDEX('Item Master'!$E$4:$E$41,MATCH(D22,'Item Master'!$A$4:$A$41,0)),0)</f>
        <v>8</v>
      </c>
      <c r="I22" s="31"/>
      <c r="J22" s="31"/>
      <c r="K22" s="31"/>
      <c r="L22" s="31"/>
      <c r="M22" s="31"/>
      <c r="N22" s="17">
        <f>G22*$M$24</f>
        <v>0.22399999999999998</v>
      </c>
    </row>
    <row r="23" spans="1:14" x14ac:dyDescent="0.3">
      <c r="A23" s="16" t="s">
        <v>325</v>
      </c>
      <c r="B23" s="16" t="s">
        <v>387</v>
      </c>
      <c r="C23" s="16" t="s">
        <v>388</v>
      </c>
      <c r="D23" s="16" t="s">
        <v>123</v>
      </c>
      <c r="E23" s="16" t="s">
        <v>124</v>
      </c>
      <c r="F23" s="16" t="s">
        <v>117</v>
      </c>
      <c r="G23" s="24">
        <v>1</v>
      </c>
      <c r="H23" s="25">
        <f>G23*IFERROR(INDEX('Item Master'!$E$4:$E$41,MATCH(D23,'Item Master'!$A$4:$A$41,0)),0)</f>
        <v>8</v>
      </c>
      <c r="I23" s="31"/>
      <c r="J23" s="31"/>
      <c r="K23" s="31"/>
      <c r="L23" s="31"/>
      <c r="M23" s="31"/>
      <c r="N23" s="17">
        <f>G23*$M$24</f>
        <v>11.2</v>
      </c>
    </row>
    <row r="24" spans="1:14" x14ac:dyDescent="0.3">
      <c r="A24" s="27" t="s">
        <v>325</v>
      </c>
      <c r="B24" s="29"/>
      <c r="C24" s="28" t="s">
        <v>389</v>
      </c>
      <c r="D24" s="28" t="s">
        <v>295</v>
      </c>
      <c r="E24" s="29"/>
      <c r="F24" s="29"/>
      <c r="G24" s="29"/>
      <c r="H24" s="30">
        <f>SUM(H19:H23)</f>
        <v>314</v>
      </c>
      <c r="I24" s="32">
        <v>10</v>
      </c>
      <c r="J24" s="28" t="s">
        <v>117</v>
      </c>
      <c r="K24" s="33">
        <f>IFERROR(H24/I24,0)</f>
        <v>31.4</v>
      </c>
      <c r="L24" s="34">
        <f>SUMIF('Recipe Master'!$D$4:$D$146,A24,'Recipe Master'!$J$4:$J$146)</f>
        <v>112</v>
      </c>
      <c r="M24" s="35">
        <f>IFERROR(L24/I24,0)</f>
        <v>11.2</v>
      </c>
      <c r="N24" s="29"/>
    </row>
    <row r="25" spans="1:14" x14ac:dyDescent="0.3">
      <c r="A25" s="31"/>
      <c r="B25" s="31"/>
      <c r="C25" s="31"/>
      <c r="D25" s="31"/>
      <c r="E25" s="31"/>
      <c r="F25" s="31"/>
      <c r="G25" s="31"/>
      <c r="H25" s="31"/>
      <c r="I25" s="31"/>
      <c r="J25" s="31"/>
      <c r="K25" s="31"/>
      <c r="L25" s="31"/>
      <c r="M25" s="31"/>
      <c r="N25" s="31"/>
    </row>
    <row r="26" spans="1:14" x14ac:dyDescent="0.3">
      <c r="A26" s="16" t="s">
        <v>327</v>
      </c>
      <c r="B26" s="16" t="s">
        <v>390</v>
      </c>
      <c r="C26" s="16" t="s">
        <v>391</v>
      </c>
      <c r="D26" s="16" t="s">
        <v>118</v>
      </c>
      <c r="E26" s="16" t="s">
        <v>119</v>
      </c>
      <c r="F26" s="16" t="s">
        <v>102</v>
      </c>
      <c r="G26" s="24">
        <v>1</v>
      </c>
      <c r="H26" s="25">
        <f>G26*IFERROR(INDEX('Item Master'!$E$4:$E$41,MATCH(D26,'Item Master'!$A$4:$A$41,0)),0)</f>
        <v>55</v>
      </c>
      <c r="I26" s="31"/>
      <c r="J26" s="31"/>
      <c r="K26" s="31"/>
      <c r="L26" s="31"/>
      <c r="M26" s="31"/>
      <c r="N26" s="17">
        <f>G26*$M$30</f>
        <v>8.9</v>
      </c>
    </row>
    <row r="27" spans="1:14" x14ac:dyDescent="0.3">
      <c r="A27" s="16" t="s">
        <v>327</v>
      </c>
      <c r="B27" s="16" t="s">
        <v>390</v>
      </c>
      <c r="C27" s="16" t="s">
        <v>391</v>
      </c>
      <c r="D27" s="16" t="s">
        <v>121</v>
      </c>
      <c r="E27" s="16" t="s">
        <v>122</v>
      </c>
      <c r="F27" s="16" t="s">
        <v>102</v>
      </c>
      <c r="G27" s="24">
        <v>0.4</v>
      </c>
      <c r="H27" s="25">
        <f>G27*IFERROR(INDEX('Item Master'!$E$4:$E$41,MATCH(D27,'Item Master'!$A$4:$A$41,0)),0)</f>
        <v>192</v>
      </c>
      <c r="I27" s="31"/>
      <c r="J27" s="31"/>
      <c r="K27" s="31"/>
      <c r="L27" s="31"/>
      <c r="M27" s="31"/>
      <c r="N27" s="17">
        <f>G27*$M$30</f>
        <v>3.5600000000000005</v>
      </c>
    </row>
    <row r="28" spans="1:14" x14ac:dyDescent="0.3">
      <c r="A28" s="16" t="s">
        <v>327</v>
      </c>
      <c r="B28" s="16" t="s">
        <v>390</v>
      </c>
      <c r="C28" s="16" t="s">
        <v>391</v>
      </c>
      <c r="D28" s="16" t="s">
        <v>178</v>
      </c>
      <c r="E28" s="16" t="s">
        <v>179</v>
      </c>
      <c r="F28" s="16" t="s">
        <v>102</v>
      </c>
      <c r="G28" s="24">
        <v>0.1</v>
      </c>
      <c r="H28" s="25">
        <f>G28*IFERROR(INDEX('Item Master'!$E$4:$E$41,MATCH(D28,'Item Master'!$A$4:$A$41,0)),0)</f>
        <v>6</v>
      </c>
      <c r="I28" s="31"/>
      <c r="J28" s="31"/>
      <c r="K28" s="31"/>
      <c r="L28" s="31"/>
      <c r="M28" s="31"/>
      <c r="N28" s="17">
        <f>G28*$M$30</f>
        <v>0.89000000000000012</v>
      </c>
    </row>
    <row r="29" spans="1:14" x14ac:dyDescent="0.3">
      <c r="A29" s="16" t="s">
        <v>327</v>
      </c>
      <c r="B29" s="16" t="s">
        <v>390</v>
      </c>
      <c r="C29" s="16" t="s">
        <v>391</v>
      </c>
      <c r="D29" s="16" t="s">
        <v>123</v>
      </c>
      <c r="E29" s="16" t="s">
        <v>124</v>
      </c>
      <c r="F29" s="16" t="s">
        <v>117</v>
      </c>
      <c r="G29" s="24">
        <v>2</v>
      </c>
      <c r="H29" s="25">
        <f>G29*IFERROR(INDEX('Item Master'!$E$4:$E$41,MATCH(D29,'Item Master'!$A$4:$A$41,0)),0)</f>
        <v>16</v>
      </c>
      <c r="I29" s="31"/>
      <c r="J29" s="31"/>
      <c r="K29" s="31"/>
      <c r="L29" s="31"/>
      <c r="M29" s="31"/>
      <c r="N29" s="17">
        <f>G29*$M$30</f>
        <v>17.8</v>
      </c>
    </row>
    <row r="30" spans="1:14" x14ac:dyDescent="0.3">
      <c r="A30" s="27" t="s">
        <v>327</v>
      </c>
      <c r="B30" s="29"/>
      <c r="C30" s="28" t="s">
        <v>392</v>
      </c>
      <c r="D30" s="28" t="s">
        <v>295</v>
      </c>
      <c r="E30" s="29"/>
      <c r="F30" s="29"/>
      <c r="G30" s="29"/>
      <c r="H30" s="30">
        <f>SUM(H26:H29)</f>
        <v>269</v>
      </c>
      <c r="I30" s="32">
        <v>10</v>
      </c>
      <c r="J30" s="28" t="s">
        <v>117</v>
      </c>
      <c r="K30" s="33">
        <f>IFERROR(H30/I30,0)</f>
        <v>26.9</v>
      </c>
      <c r="L30" s="34">
        <f>SUMIF('Recipe Master'!$D$4:$D$146,A30,'Recipe Master'!$J$4:$J$146)</f>
        <v>89</v>
      </c>
      <c r="M30" s="35">
        <f>IFERROR(L30/I30,0)</f>
        <v>8.9</v>
      </c>
      <c r="N30" s="29"/>
    </row>
    <row r="31" spans="1:14" x14ac:dyDescent="0.3">
      <c r="A31" s="31"/>
      <c r="B31" s="31"/>
      <c r="C31" s="31"/>
      <c r="D31" s="31"/>
      <c r="E31" s="31"/>
      <c r="F31" s="31"/>
      <c r="G31" s="31"/>
      <c r="H31" s="31"/>
      <c r="I31" s="31"/>
      <c r="J31" s="31"/>
      <c r="K31" s="31"/>
      <c r="L31" s="31"/>
      <c r="M31" s="31"/>
      <c r="N31" s="31"/>
    </row>
    <row r="32" spans="1:14" x14ac:dyDescent="0.3">
      <c r="A32" s="16" t="s">
        <v>339</v>
      </c>
      <c r="B32" s="16" t="s">
        <v>239</v>
      </c>
      <c r="C32" s="16" t="s">
        <v>393</v>
      </c>
      <c r="D32" s="16" t="s">
        <v>118</v>
      </c>
      <c r="E32" s="16" t="s">
        <v>119</v>
      </c>
      <c r="F32" s="16" t="s">
        <v>102</v>
      </c>
      <c r="G32" s="24">
        <v>1</v>
      </c>
      <c r="H32" s="25">
        <f>G32*IFERROR(INDEX('Item Master'!$E$4:$E$41,MATCH(D32,'Item Master'!$A$4:$A$41,0)),0)</f>
        <v>55</v>
      </c>
      <c r="I32" s="31"/>
      <c r="J32" s="31"/>
      <c r="K32" s="31"/>
      <c r="L32" s="31"/>
      <c r="M32" s="31"/>
      <c r="N32" s="17">
        <f>G32*$M$36</f>
        <v>16.399999999999999</v>
      </c>
    </row>
    <row r="33" spans="1:14" x14ac:dyDescent="0.3">
      <c r="A33" s="16" t="s">
        <v>339</v>
      </c>
      <c r="B33" s="16" t="s">
        <v>239</v>
      </c>
      <c r="C33" s="16" t="s">
        <v>393</v>
      </c>
      <c r="D33" s="16" t="s">
        <v>185</v>
      </c>
      <c r="E33" s="16" t="s">
        <v>186</v>
      </c>
      <c r="F33" s="16" t="s">
        <v>102</v>
      </c>
      <c r="G33" s="24">
        <v>0.02</v>
      </c>
      <c r="H33" s="25">
        <f>G33*IFERROR(INDEX('Item Master'!$E$4:$E$41,MATCH(D33,'Item Master'!$A$4:$A$41,0)),0)</f>
        <v>8</v>
      </c>
      <c r="I33" s="31"/>
      <c r="J33" s="31"/>
      <c r="K33" s="31"/>
      <c r="L33" s="31"/>
      <c r="M33" s="31"/>
      <c r="N33" s="17">
        <f>G33*$M$36</f>
        <v>0.32799999999999996</v>
      </c>
    </row>
    <row r="34" spans="1:14" x14ac:dyDescent="0.3">
      <c r="A34" s="16" t="s">
        <v>339</v>
      </c>
      <c r="B34" s="16" t="s">
        <v>239</v>
      </c>
      <c r="C34" s="16" t="s">
        <v>393</v>
      </c>
      <c r="D34" s="16" t="s">
        <v>181</v>
      </c>
      <c r="E34" s="16" t="s">
        <v>182</v>
      </c>
      <c r="F34" s="16" t="s">
        <v>102</v>
      </c>
      <c r="G34" s="24">
        <v>0.02</v>
      </c>
      <c r="H34" s="25">
        <f>G34*IFERROR(INDEX('Item Master'!$E$4:$E$41,MATCH(D34,'Item Master'!$A$4:$A$41,0)),0)</f>
        <v>0.5</v>
      </c>
      <c r="I34" s="31"/>
      <c r="J34" s="31"/>
      <c r="K34" s="31"/>
      <c r="L34" s="31"/>
      <c r="M34" s="31"/>
      <c r="N34" s="17">
        <f>G34*$M$36</f>
        <v>0.32799999999999996</v>
      </c>
    </row>
    <row r="35" spans="1:14" x14ac:dyDescent="0.3">
      <c r="A35" s="16" t="s">
        <v>339</v>
      </c>
      <c r="B35" s="16" t="s">
        <v>239</v>
      </c>
      <c r="C35" s="16" t="s">
        <v>393</v>
      </c>
      <c r="D35" s="16" t="s">
        <v>183</v>
      </c>
      <c r="E35" s="16" t="s">
        <v>184</v>
      </c>
      <c r="F35" s="16" t="s">
        <v>147</v>
      </c>
      <c r="G35" s="24">
        <v>0.05</v>
      </c>
      <c r="H35" s="25">
        <f>G35*IFERROR(INDEX('Item Master'!$E$4:$E$41,MATCH(D35,'Item Master'!$A$4:$A$41,0)),0)</f>
        <v>7.5</v>
      </c>
      <c r="I35" s="31"/>
      <c r="J35" s="31"/>
      <c r="K35" s="31"/>
      <c r="L35" s="31"/>
      <c r="M35" s="31"/>
      <c r="N35" s="17">
        <f>G35*$M$36</f>
        <v>0.82</v>
      </c>
    </row>
    <row r="36" spans="1:14" x14ac:dyDescent="0.3">
      <c r="A36" s="27" t="s">
        <v>339</v>
      </c>
      <c r="B36" s="29"/>
      <c r="C36" s="28" t="s">
        <v>394</v>
      </c>
      <c r="D36" s="28" t="s">
        <v>295</v>
      </c>
      <c r="E36" s="29"/>
      <c r="F36" s="29"/>
      <c r="G36" s="29"/>
      <c r="H36" s="30">
        <f>SUM(H32:H35)</f>
        <v>71</v>
      </c>
      <c r="I36" s="32">
        <v>5</v>
      </c>
      <c r="J36" s="28" t="s">
        <v>341</v>
      </c>
      <c r="K36" s="33">
        <f>IFERROR(H36/I36,0)</f>
        <v>14.2</v>
      </c>
      <c r="L36" s="34">
        <f>SUMIF('Recipe Master'!$D$4:$D$146,A36,'Recipe Master'!$J$4:$J$146)</f>
        <v>82</v>
      </c>
      <c r="M36" s="35">
        <f>IFERROR(L36/I36,0)</f>
        <v>16.399999999999999</v>
      </c>
      <c r="N36" s="29"/>
    </row>
    <row r="37" spans="1:14" x14ac:dyDescent="0.3">
      <c r="A37" s="31"/>
      <c r="B37" s="31"/>
      <c r="C37" s="31"/>
      <c r="D37" s="31"/>
      <c r="E37" s="31"/>
      <c r="F37" s="31"/>
      <c r="G37" s="31"/>
      <c r="H37" s="31"/>
      <c r="I37" s="31"/>
      <c r="J37" s="31"/>
      <c r="K37" s="31"/>
      <c r="L37" s="31"/>
      <c r="M37" s="31"/>
      <c r="N37" s="31"/>
    </row>
    <row r="38" spans="1:14" x14ac:dyDescent="0.3">
      <c r="A38" s="16" t="s">
        <v>313</v>
      </c>
      <c r="B38" s="16" t="s">
        <v>218</v>
      </c>
      <c r="C38" s="16" t="s">
        <v>395</v>
      </c>
      <c r="D38" s="16" t="s">
        <v>99</v>
      </c>
      <c r="E38" s="16" t="s">
        <v>100</v>
      </c>
      <c r="F38" s="16" t="s">
        <v>102</v>
      </c>
      <c r="G38" s="24">
        <v>1</v>
      </c>
      <c r="H38" s="25">
        <f>G38*IFERROR(INDEX('Item Master'!$E$4:$E$41,MATCH(D38,'Item Master'!$A$4:$A$41,0)),0)</f>
        <v>550</v>
      </c>
      <c r="I38" s="31"/>
      <c r="J38" s="31"/>
      <c r="K38" s="31"/>
      <c r="L38" s="31"/>
      <c r="M38" s="31"/>
      <c r="N38" s="17">
        <f>G38*$M$43</f>
        <v>8.25</v>
      </c>
    </row>
    <row r="39" spans="1:14" x14ac:dyDescent="0.3">
      <c r="A39" s="16" t="s">
        <v>313</v>
      </c>
      <c r="B39" s="16" t="s">
        <v>218</v>
      </c>
      <c r="C39" s="16" t="s">
        <v>395</v>
      </c>
      <c r="D39" s="16" t="s">
        <v>110</v>
      </c>
      <c r="E39" s="16" t="s">
        <v>111</v>
      </c>
      <c r="F39" s="16" t="s">
        <v>102</v>
      </c>
      <c r="G39" s="24">
        <v>0.5</v>
      </c>
      <c r="H39" s="25">
        <f>G39*IFERROR(INDEX('Item Master'!$E$4:$E$41,MATCH(D39,'Item Master'!$A$4:$A$41,0)),0)</f>
        <v>27.5</v>
      </c>
      <c r="I39" s="31"/>
      <c r="J39" s="31"/>
      <c r="K39" s="31"/>
      <c r="L39" s="31"/>
      <c r="M39" s="31"/>
      <c r="N39" s="17">
        <f>G39*$M$43</f>
        <v>4.125</v>
      </c>
    </row>
    <row r="40" spans="1:14" x14ac:dyDescent="0.3">
      <c r="A40" s="16" t="s">
        <v>313</v>
      </c>
      <c r="B40" s="16" t="s">
        <v>218</v>
      </c>
      <c r="C40" s="16" t="s">
        <v>395</v>
      </c>
      <c r="D40" s="16" t="s">
        <v>112</v>
      </c>
      <c r="E40" s="16" t="s">
        <v>113</v>
      </c>
      <c r="F40" s="16" t="s">
        <v>102</v>
      </c>
      <c r="G40" s="24">
        <v>0.3</v>
      </c>
      <c r="H40" s="25">
        <f>G40*IFERROR(INDEX('Item Master'!$E$4:$E$41,MATCH(D40,'Item Master'!$A$4:$A$41,0)),0)</f>
        <v>12</v>
      </c>
      <c r="I40" s="31"/>
      <c r="J40" s="31"/>
      <c r="K40" s="31"/>
      <c r="L40" s="31"/>
      <c r="M40" s="31"/>
      <c r="N40" s="17">
        <f>G40*$M$43</f>
        <v>2.4750000000000001</v>
      </c>
    </row>
    <row r="41" spans="1:14" x14ac:dyDescent="0.3">
      <c r="A41" s="16" t="s">
        <v>313</v>
      </c>
      <c r="B41" s="16" t="s">
        <v>218</v>
      </c>
      <c r="C41" s="16" t="s">
        <v>395</v>
      </c>
      <c r="D41" s="16" t="s">
        <v>183</v>
      </c>
      <c r="E41" s="16" t="s">
        <v>184</v>
      </c>
      <c r="F41" s="16" t="s">
        <v>147</v>
      </c>
      <c r="G41" s="24">
        <v>0.05</v>
      </c>
      <c r="H41" s="25">
        <f>G41*IFERROR(INDEX('Item Master'!$E$4:$E$41,MATCH(D41,'Item Master'!$A$4:$A$41,0)),0)</f>
        <v>7.5</v>
      </c>
      <c r="I41" s="31"/>
      <c r="J41" s="31"/>
      <c r="K41" s="31"/>
      <c r="L41" s="31"/>
      <c r="M41" s="31"/>
      <c r="N41" s="17">
        <f>G41*$M$43</f>
        <v>0.41250000000000003</v>
      </c>
    </row>
    <row r="42" spans="1:14" x14ac:dyDescent="0.3">
      <c r="A42" s="16" t="s">
        <v>313</v>
      </c>
      <c r="B42" s="16" t="s">
        <v>218</v>
      </c>
      <c r="C42" s="16" t="s">
        <v>395</v>
      </c>
      <c r="D42" s="16" t="s">
        <v>181</v>
      </c>
      <c r="E42" s="16" t="s">
        <v>182</v>
      </c>
      <c r="F42" s="16" t="s">
        <v>102</v>
      </c>
      <c r="G42" s="24">
        <v>0.02</v>
      </c>
      <c r="H42" s="25">
        <f>G42*IFERROR(INDEX('Item Master'!$E$4:$E$41,MATCH(D42,'Item Master'!$A$4:$A$41,0)),0)</f>
        <v>0.5</v>
      </c>
      <c r="I42" s="31"/>
      <c r="J42" s="31"/>
      <c r="K42" s="31"/>
      <c r="L42" s="31"/>
      <c r="M42" s="31"/>
      <c r="N42" s="17">
        <f>G42*$M$43</f>
        <v>0.16500000000000001</v>
      </c>
    </row>
    <row r="43" spans="1:14" x14ac:dyDescent="0.3">
      <c r="A43" s="27" t="s">
        <v>313</v>
      </c>
      <c r="B43" s="29"/>
      <c r="C43" s="28" t="s">
        <v>396</v>
      </c>
      <c r="D43" s="28" t="s">
        <v>295</v>
      </c>
      <c r="E43" s="29"/>
      <c r="F43" s="29"/>
      <c r="G43" s="29"/>
      <c r="H43" s="30">
        <f>SUM(H38:H42)</f>
        <v>597.5</v>
      </c>
      <c r="I43" s="32">
        <v>8</v>
      </c>
      <c r="J43" s="28" t="s">
        <v>315</v>
      </c>
      <c r="K43" s="33">
        <f>IFERROR(H43/I43,0)</f>
        <v>74.6875</v>
      </c>
      <c r="L43" s="34">
        <f>SUMIF('Recipe Master'!$D$4:$D$146,A43,'Recipe Master'!$J$4:$J$146)</f>
        <v>66</v>
      </c>
      <c r="M43" s="35">
        <f>IFERROR(L43/I43,0)</f>
        <v>8.25</v>
      </c>
      <c r="N43" s="29"/>
    </row>
    <row r="44" spans="1:14" x14ac:dyDescent="0.3">
      <c r="A44" s="31"/>
      <c r="B44" s="31"/>
      <c r="C44" s="31"/>
      <c r="D44" s="31"/>
      <c r="E44" s="31"/>
      <c r="F44" s="31"/>
      <c r="G44" s="31"/>
      <c r="H44" s="31"/>
      <c r="I44" s="31"/>
      <c r="J44" s="31"/>
      <c r="K44" s="31"/>
      <c r="L44" s="31"/>
      <c r="M44" s="31"/>
      <c r="N44" s="31"/>
    </row>
    <row r="45" spans="1:14" x14ac:dyDescent="0.3">
      <c r="A45" s="16" t="s">
        <v>318</v>
      </c>
      <c r="B45" s="16" t="s">
        <v>220</v>
      </c>
      <c r="C45" s="16" t="s">
        <v>397</v>
      </c>
      <c r="D45" s="16" t="s">
        <v>121</v>
      </c>
      <c r="E45" s="16" t="s">
        <v>122</v>
      </c>
      <c r="F45" s="16" t="s">
        <v>102</v>
      </c>
      <c r="G45" s="24">
        <v>0.3</v>
      </c>
      <c r="H45" s="25">
        <f>G45*IFERROR(INDEX('Item Master'!$E$4:$E$41,MATCH(D45,'Item Master'!$A$4:$A$41,0)),0)</f>
        <v>144</v>
      </c>
      <c r="I45" s="31"/>
      <c r="J45" s="31"/>
      <c r="K45" s="31"/>
      <c r="L45" s="31"/>
      <c r="M45" s="31"/>
      <c r="N45" s="17">
        <f>G45*$M$49</f>
        <v>1.7999999999999998</v>
      </c>
    </row>
    <row r="46" spans="1:14" x14ac:dyDescent="0.3">
      <c r="A46" s="16" t="s">
        <v>318</v>
      </c>
      <c r="B46" s="16" t="s">
        <v>220</v>
      </c>
      <c r="C46" s="16" t="s">
        <v>397</v>
      </c>
      <c r="D46" s="16" t="s">
        <v>144</v>
      </c>
      <c r="E46" s="16" t="s">
        <v>145</v>
      </c>
      <c r="F46" s="16" t="s">
        <v>147</v>
      </c>
      <c r="G46" s="24">
        <v>0.5</v>
      </c>
      <c r="H46" s="25">
        <f>G46*IFERROR(INDEX('Item Master'!$E$4:$E$41,MATCH(D46,'Item Master'!$A$4:$A$41,0)),0)</f>
        <v>32.5</v>
      </c>
      <c r="I46" s="31"/>
      <c r="J46" s="31"/>
      <c r="K46" s="31"/>
      <c r="L46" s="31"/>
      <c r="M46" s="31"/>
      <c r="N46" s="17">
        <f>G46*$M$49</f>
        <v>3</v>
      </c>
    </row>
    <row r="47" spans="1:14" x14ac:dyDescent="0.3">
      <c r="A47" s="16" t="s">
        <v>318</v>
      </c>
      <c r="B47" s="16" t="s">
        <v>220</v>
      </c>
      <c r="C47" s="16" t="s">
        <v>397</v>
      </c>
      <c r="D47" s="16" t="s">
        <v>134</v>
      </c>
      <c r="E47" s="16" t="s">
        <v>135</v>
      </c>
      <c r="F47" s="16" t="s">
        <v>102</v>
      </c>
      <c r="G47" s="24">
        <v>0.2</v>
      </c>
      <c r="H47" s="25">
        <f>G47*IFERROR(INDEX('Item Master'!$E$4:$E$41,MATCH(D47,'Item Master'!$A$4:$A$41,0)),0)</f>
        <v>124</v>
      </c>
      <c r="I47" s="31"/>
      <c r="J47" s="31"/>
      <c r="K47" s="31"/>
      <c r="L47" s="31"/>
      <c r="M47" s="31"/>
      <c r="N47" s="17">
        <f>G47*$M$49</f>
        <v>1.2000000000000002</v>
      </c>
    </row>
    <row r="48" spans="1:14" x14ac:dyDescent="0.3">
      <c r="A48" s="16" t="s">
        <v>318</v>
      </c>
      <c r="B48" s="16" t="s">
        <v>220</v>
      </c>
      <c r="C48" s="16" t="s">
        <v>397</v>
      </c>
      <c r="D48" s="16" t="s">
        <v>187</v>
      </c>
      <c r="E48" s="16" t="s">
        <v>188</v>
      </c>
      <c r="F48" s="16" t="s">
        <v>102</v>
      </c>
      <c r="G48" s="24">
        <v>0.01</v>
      </c>
      <c r="H48" s="25">
        <f>G48*IFERROR(INDEX('Item Master'!$E$4:$E$41,MATCH(D48,'Item Master'!$A$4:$A$41,0)),0)</f>
        <v>5</v>
      </c>
      <c r="I48" s="31"/>
      <c r="J48" s="31"/>
      <c r="K48" s="31"/>
      <c r="L48" s="31"/>
      <c r="M48" s="31"/>
      <c r="N48" s="17">
        <f>G48*$M$49</f>
        <v>0.06</v>
      </c>
    </row>
    <row r="49" spans="1:14" x14ac:dyDescent="0.3">
      <c r="A49" s="27" t="s">
        <v>318</v>
      </c>
      <c r="B49" s="29"/>
      <c r="C49" s="28" t="s">
        <v>398</v>
      </c>
      <c r="D49" s="28" t="s">
        <v>295</v>
      </c>
      <c r="E49" s="29"/>
      <c r="F49" s="29"/>
      <c r="G49" s="29"/>
      <c r="H49" s="30">
        <f>SUM(H45:H48)</f>
        <v>305.5</v>
      </c>
      <c r="I49" s="32">
        <v>8</v>
      </c>
      <c r="J49" s="28" t="s">
        <v>320</v>
      </c>
      <c r="K49" s="33">
        <f>IFERROR(H49/I49,0)</f>
        <v>38.1875</v>
      </c>
      <c r="L49" s="34">
        <f>SUMIF('Recipe Master'!$D$4:$D$146,A49,'Recipe Master'!$J$4:$J$146)</f>
        <v>48</v>
      </c>
      <c r="M49" s="35">
        <f>IFERROR(L49/I49,0)</f>
        <v>6</v>
      </c>
      <c r="N49" s="29"/>
    </row>
    <row r="50" spans="1:14" x14ac:dyDescent="0.3">
      <c r="A50" s="31"/>
      <c r="B50" s="31"/>
      <c r="C50" s="31"/>
      <c r="D50" s="31"/>
      <c r="E50" s="31"/>
      <c r="F50" s="31"/>
      <c r="G50" s="31"/>
      <c r="H50" s="31"/>
      <c r="I50" s="31"/>
      <c r="J50" s="31"/>
      <c r="K50" s="31"/>
      <c r="L50" s="31"/>
      <c r="M50" s="31"/>
      <c r="N50" s="31"/>
    </row>
    <row r="51" spans="1:14" x14ac:dyDescent="0.3">
      <c r="A51" s="16" t="s">
        <v>299</v>
      </c>
      <c r="B51" s="16" t="s">
        <v>399</v>
      </c>
      <c r="C51" s="16" t="s">
        <v>400</v>
      </c>
      <c r="D51" s="16" t="s">
        <v>129</v>
      </c>
      <c r="E51" s="16" t="s">
        <v>130</v>
      </c>
      <c r="F51" s="16" t="s">
        <v>102</v>
      </c>
      <c r="G51" s="24">
        <v>0.6</v>
      </c>
      <c r="H51" s="25">
        <f>G51*IFERROR(INDEX('Item Master'!$E$4:$E$41,MATCH(D51,'Item Master'!$A$4:$A$41,0)),0)</f>
        <v>132</v>
      </c>
      <c r="I51" s="31"/>
      <c r="J51" s="31"/>
      <c r="K51" s="31"/>
      <c r="L51" s="31"/>
      <c r="M51" s="31"/>
      <c r="N51" s="17">
        <f>G51*$M$55</f>
        <v>5.52</v>
      </c>
    </row>
    <row r="52" spans="1:14" x14ac:dyDescent="0.3">
      <c r="A52" s="16" t="s">
        <v>299</v>
      </c>
      <c r="B52" s="16" t="s">
        <v>399</v>
      </c>
      <c r="C52" s="16" t="s">
        <v>400</v>
      </c>
      <c r="D52" s="16" t="s">
        <v>134</v>
      </c>
      <c r="E52" s="16" t="s">
        <v>135</v>
      </c>
      <c r="F52" s="16" t="s">
        <v>102</v>
      </c>
      <c r="G52" s="24">
        <v>0.1</v>
      </c>
      <c r="H52" s="25">
        <f>G52*IFERROR(INDEX('Item Master'!$E$4:$E$41,MATCH(D52,'Item Master'!$A$4:$A$41,0)),0)</f>
        <v>62</v>
      </c>
      <c r="I52" s="31"/>
      <c r="J52" s="31"/>
      <c r="K52" s="31"/>
      <c r="L52" s="31"/>
      <c r="M52" s="31"/>
      <c r="N52" s="17">
        <f>G52*$M$55</f>
        <v>0.91999999999999993</v>
      </c>
    </row>
    <row r="53" spans="1:14" x14ac:dyDescent="0.3">
      <c r="A53" s="16" t="s">
        <v>299</v>
      </c>
      <c r="B53" s="16" t="s">
        <v>399</v>
      </c>
      <c r="C53" s="16" t="s">
        <v>400</v>
      </c>
      <c r="D53" s="16" t="s">
        <v>187</v>
      </c>
      <c r="E53" s="16" t="s">
        <v>188</v>
      </c>
      <c r="F53" s="16" t="s">
        <v>102</v>
      </c>
      <c r="G53" s="24">
        <v>0.01</v>
      </c>
      <c r="H53" s="25">
        <f>G53*IFERROR(INDEX('Item Master'!$E$4:$E$41,MATCH(D53,'Item Master'!$A$4:$A$41,0)),0)</f>
        <v>5</v>
      </c>
      <c r="I53" s="31"/>
      <c r="J53" s="31"/>
      <c r="K53" s="31"/>
      <c r="L53" s="31"/>
      <c r="M53" s="31"/>
      <c r="N53" s="17">
        <f>G53*$M$55</f>
        <v>9.1999999999999998E-2</v>
      </c>
    </row>
    <row r="54" spans="1:14" x14ac:dyDescent="0.3">
      <c r="A54" s="16" t="s">
        <v>299</v>
      </c>
      <c r="B54" s="16" t="s">
        <v>399</v>
      </c>
      <c r="C54" s="16" t="s">
        <v>400</v>
      </c>
      <c r="D54" s="16" t="s">
        <v>156</v>
      </c>
      <c r="E54" s="16" t="s">
        <v>157</v>
      </c>
      <c r="F54" s="16" t="s">
        <v>102</v>
      </c>
      <c r="G54" s="24">
        <v>0.1</v>
      </c>
      <c r="H54" s="25">
        <f>G54*IFERROR(INDEX('Item Master'!$E$4:$E$41,MATCH(D54,'Item Master'!$A$4:$A$41,0)),0)</f>
        <v>10</v>
      </c>
      <c r="I54" s="31"/>
      <c r="J54" s="31"/>
      <c r="K54" s="31"/>
      <c r="L54" s="31"/>
      <c r="M54" s="31"/>
      <c r="N54" s="17">
        <f>G54*$M$55</f>
        <v>0.91999999999999993</v>
      </c>
    </row>
    <row r="55" spans="1:14" x14ac:dyDescent="0.3">
      <c r="A55" s="27" t="s">
        <v>299</v>
      </c>
      <c r="B55" s="29"/>
      <c r="C55" s="28" t="s">
        <v>401</v>
      </c>
      <c r="D55" s="28" t="s">
        <v>295</v>
      </c>
      <c r="E55" s="29"/>
      <c r="F55" s="29"/>
      <c r="G55" s="29"/>
      <c r="H55" s="30">
        <f>SUM(H51:H54)</f>
        <v>209</v>
      </c>
      <c r="I55" s="32">
        <v>10</v>
      </c>
      <c r="J55" s="28" t="s">
        <v>301</v>
      </c>
      <c r="K55" s="33">
        <f>IFERROR(H55/I55,0)</f>
        <v>20.9</v>
      </c>
      <c r="L55" s="34">
        <f>SUMIF('Recipe Master'!$D$4:$D$146,A55,'Recipe Master'!$J$4:$J$146)</f>
        <v>92</v>
      </c>
      <c r="M55" s="35">
        <f>IFERROR(L55/I55,0)</f>
        <v>9.1999999999999993</v>
      </c>
      <c r="N55" s="29"/>
    </row>
    <row r="56" spans="1:14" x14ac:dyDescent="0.3">
      <c r="A56" s="31"/>
      <c r="B56" s="31"/>
      <c r="C56" s="31"/>
      <c r="D56" s="31"/>
      <c r="E56" s="31"/>
      <c r="F56" s="31"/>
      <c r="G56" s="31"/>
      <c r="H56" s="31"/>
      <c r="I56" s="31"/>
      <c r="J56" s="31"/>
      <c r="K56" s="31"/>
      <c r="L56" s="31"/>
      <c r="M56" s="31"/>
      <c r="N56" s="31"/>
    </row>
    <row r="57" spans="1:14" x14ac:dyDescent="0.3">
      <c r="A57" s="16" t="s">
        <v>342</v>
      </c>
      <c r="B57" s="16" t="s">
        <v>239</v>
      </c>
      <c r="C57" s="16" t="s">
        <v>402</v>
      </c>
      <c r="D57" s="16" t="s">
        <v>110</v>
      </c>
      <c r="E57" s="16" t="s">
        <v>111</v>
      </c>
      <c r="F57" s="16" t="s">
        <v>102</v>
      </c>
      <c r="G57" s="24">
        <v>1</v>
      </c>
      <c r="H57" s="25">
        <f>G57*IFERROR(INDEX('Item Master'!$E$4:$E$41,MATCH(D57,'Item Master'!$A$4:$A$41,0)),0)</f>
        <v>55</v>
      </c>
      <c r="I57" s="31"/>
      <c r="J57" s="31"/>
      <c r="K57" s="31"/>
      <c r="L57" s="31"/>
      <c r="M57" s="31"/>
      <c r="N57" s="17">
        <f>G57*$M$61</f>
        <v>8.1999999999999993</v>
      </c>
    </row>
    <row r="58" spans="1:14" x14ac:dyDescent="0.3">
      <c r="A58" s="16" t="s">
        <v>342</v>
      </c>
      <c r="B58" s="16" t="s">
        <v>239</v>
      </c>
      <c r="C58" s="16" t="s">
        <v>402</v>
      </c>
      <c r="D58" s="16" t="s">
        <v>112</v>
      </c>
      <c r="E58" s="16" t="s">
        <v>113</v>
      </c>
      <c r="F58" s="16" t="s">
        <v>102</v>
      </c>
      <c r="G58" s="24">
        <v>0.2</v>
      </c>
      <c r="H58" s="25">
        <f>G58*IFERROR(INDEX('Item Master'!$E$4:$E$41,MATCH(D58,'Item Master'!$A$4:$A$41,0)),0)</f>
        <v>8</v>
      </c>
      <c r="I58" s="31"/>
      <c r="J58" s="31"/>
      <c r="K58" s="31"/>
      <c r="L58" s="31"/>
      <c r="M58" s="31"/>
      <c r="N58" s="17">
        <f>G58*$M$61</f>
        <v>1.64</v>
      </c>
    </row>
    <row r="59" spans="1:14" x14ac:dyDescent="0.3">
      <c r="A59" s="16" t="s">
        <v>342</v>
      </c>
      <c r="B59" s="16" t="s">
        <v>239</v>
      </c>
      <c r="C59" s="16" t="s">
        <v>402</v>
      </c>
      <c r="D59" s="16" t="s">
        <v>183</v>
      </c>
      <c r="E59" s="16" t="s">
        <v>184</v>
      </c>
      <c r="F59" s="16" t="s">
        <v>147</v>
      </c>
      <c r="G59" s="24">
        <v>0.03</v>
      </c>
      <c r="H59" s="25">
        <f>G59*IFERROR(INDEX('Item Master'!$E$4:$E$41,MATCH(D59,'Item Master'!$A$4:$A$41,0)),0)</f>
        <v>4.5</v>
      </c>
      <c r="I59" s="31"/>
      <c r="J59" s="31"/>
      <c r="K59" s="31"/>
      <c r="L59" s="31"/>
      <c r="M59" s="31"/>
      <c r="N59" s="17">
        <f>G59*$M$61</f>
        <v>0.24599999999999997</v>
      </c>
    </row>
    <row r="60" spans="1:14" x14ac:dyDescent="0.3">
      <c r="A60" s="16" t="s">
        <v>342</v>
      </c>
      <c r="B60" s="16" t="s">
        <v>239</v>
      </c>
      <c r="C60" s="16" t="s">
        <v>402</v>
      </c>
      <c r="D60" s="16" t="s">
        <v>181</v>
      </c>
      <c r="E60" s="16" t="s">
        <v>182</v>
      </c>
      <c r="F60" s="16" t="s">
        <v>102</v>
      </c>
      <c r="G60" s="24">
        <v>0.01</v>
      </c>
      <c r="H60" s="25">
        <f>G60*IFERROR(INDEX('Item Master'!$E$4:$E$41,MATCH(D60,'Item Master'!$A$4:$A$41,0)),0)</f>
        <v>0.25</v>
      </c>
      <c r="I60" s="31"/>
      <c r="J60" s="31"/>
      <c r="K60" s="31"/>
      <c r="L60" s="31"/>
      <c r="M60" s="31"/>
      <c r="N60" s="17">
        <f>G60*$M$61</f>
        <v>8.199999999999999E-2</v>
      </c>
    </row>
    <row r="61" spans="1:14" x14ac:dyDescent="0.3">
      <c r="A61" s="27" t="s">
        <v>342</v>
      </c>
      <c r="B61" s="29"/>
      <c r="C61" s="28" t="s">
        <v>403</v>
      </c>
      <c r="D61" s="28" t="s">
        <v>295</v>
      </c>
      <c r="E61" s="29"/>
      <c r="F61" s="29"/>
      <c r="G61" s="29"/>
      <c r="H61" s="30">
        <f>SUM(H57:H60)</f>
        <v>67.75</v>
      </c>
      <c r="I61" s="32">
        <v>10</v>
      </c>
      <c r="J61" s="28" t="s">
        <v>301</v>
      </c>
      <c r="K61" s="33">
        <f>IFERROR(H61/I61,0)</f>
        <v>6.7750000000000004</v>
      </c>
      <c r="L61" s="34">
        <f>SUMIF('Recipe Master'!$D$4:$D$146,A61,'Recipe Master'!$J$4:$J$146)</f>
        <v>82</v>
      </c>
      <c r="M61" s="35">
        <f>IFERROR(L61/I61,0)</f>
        <v>8.1999999999999993</v>
      </c>
      <c r="N61" s="29"/>
    </row>
    <row r="62" spans="1:14" x14ac:dyDescent="0.3">
      <c r="A62" s="31"/>
      <c r="B62" s="31"/>
      <c r="C62" s="31"/>
      <c r="D62" s="31"/>
      <c r="E62" s="31"/>
      <c r="F62" s="31"/>
      <c r="G62" s="31"/>
      <c r="H62" s="31"/>
      <c r="I62" s="31"/>
      <c r="J62" s="31"/>
      <c r="K62" s="31"/>
      <c r="L62" s="31"/>
      <c r="M62" s="31"/>
      <c r="N62" s="31"/>
    </row>
    <row r="63" spans="1:14" x14ac:dyDescent="0.3">
      <c r="A63" s="16" t="s">
        <v>356</v>
      </c>
      <c r="B63" s="16" t="s">
        <v>404</v>
      </c>
      <c r="C63" s="16" t="s">
        <v>405</v>
      </c>
      <c r="D63" s="16" t="s">
        <v>178</v>
      </c>
      <c r="E63" s="16" t="s">
        <v>179</v>
      </c>
      <c r="F63" s="16" t="s">
        <v>102</v>
      </c>
      <c r="G63" s="24">
        <v>0.5</v>
      </c>
      <c r="H63" s="25">
        <f>G63*IFERROR(INDEX('Item Master'!$E$4:$E$41,MATCH(D63,'Item Master'!$A$4:$A$41,0)),0)</f>
        <v>30</v>
      </c>
      <c r="I63" s="31"/>
      <c r="J63" s="31"/>
      <c r="K63" s="31"/>
      <c r="L63" s="31"/>
      <c r="M63" s="31"/>
      <c r="N63" s="17">
        <f>G63*$M$66</f>
        <v>2.625</v>
      </c>
    </row>
    <row r="64" spans="1:14" x14ac:dyDescent="0.3">
      <c r="A64" s="16" t="s">
        <v>356</v>
      </c>
      <c r="B64" s="16" t="s">
        <v>404</v>
      </c>
      <c r="C64" s="16" t="s">
        <v>405</v>
      </c>
      <c r="D64" s="16" t="s">
        <v>153</v>
      </c>
      <c r="E64" s="16" t="s">
        <v>154</v>
      </c>
      <c r="F64" s="16" t="s">
        <v>102</v>
      </c>
      <c r="G64" s="24">
        <v>0.1</v>
      </c>
      <c r="H64" s="25">
        <f>G64*IFERROR(INDEX('Item Master'!$E$4:$E$41,MATCH(D64,'Item Master'!$A$4:$A$41,0)),0)</f>
        <v>15</v>
      </c>
      <c r="I64" s="31"/>
      <c r="J64" s="31"/>
      <c r="K64" s="31"/>
      <c r="L64" s="31"/>
      <c r="M64" s="31"/>
      <c r="N64" s="17">
        <f>G64*$M$66</f>
        <v>0.52500000000000002</v>
      </c>
    </row>
    <row r="65" spans="1:14" x14ac:dyDescent="0.3">
      <c r="A65" s="16" t="s">
        <v>356</v>
      </c>
      <c r="B65" s="16" t="s">
        <v>404</v>
      </c>
      <c r="C65" s="16" t="s">
        <v>405</v>
      </c>
      <c r="D65" s="16" t="s">
        <v>156</v>
      </c>
      <c r="E65" s="16" t="s">
        <v>157</v>
      </c>
      <c r="F65" s="16" t="s">
        <v>102</v>
      </c>
      <c r="G65" s="24">
        <v>0.3</v>
      </c>
      <c r="H65" s="25">
        <f>G65*IFERROR(INDEX('Item Master'!$E$4:$E$41,MATCH(D65,'Item Master'!$A$4:$A$41,0)),0)</f>
        <v>30</v>
      </c>
      <c r="I65" s="31"/>
      <c r="J65" s="31"/>
      <c r="K65" s="31"/>
      <c r="L65" s="31"/>
      <c r="M65" s="31"/>
      <c r="N65" s="17">
        <f>G65*$M$66</f>
        <v>1.575</v>
      </c>
    </row>
    <row r="66" spans="1:14" x14ac:dyDescent="0.3">
      <c r="A66" s="27" t="s">
        <v>356</v>
      </c>
      <c r="B66" s="29"/>
      <c r="C66" s="28" t="s">
        <v>406</v>
      </c>
      <c r="D66" s="28" t="s">
        <v>295</v>
      </c>
      <c r="E66" s="29"/>
      <c r="F66" s="29"/>
      <c r="G66" s="29"/>
      <c r="H66" s="30">
        <f>SUM(H63:H65)</f>
        <v>75</v>
      </c>
      <c r="I66" s="32">
        <v>20</v>
      </c>
      <c r="J66" s="28" t="s">
        <v>358</v>
      </c>
      <c r="K66" s="33">
        <f>IFERROR(H66/I66,0)</f>
        <v>3.75</v>
      </c>
      <c r="L66" s="34">
        <f>SUMIF('Recipe Master'!$D$4:$D$146,A66,'Recipe Master'!$J$4:$J$146)</f>
        <v>105</v>
      </c>
      <c r="M66" s="35">
        <f>IFERROR(L66/I66,0)</f>
        <v>5.25</v>
      </c>
      <c r="N66" s="29"/>
    </row>
    <row r="67" spans="1:14" x14ac:dyDescent="0.3">
      <c r="A67" s="31"/>
      <c r="B67" s="31"/>
      <c r="C67" s="31"/>
      <c r="D67" s="31"/>
      <c r="E67" s="31"/>
      <c r="F67" s="31"/>
      <c r="G67" s="31"/>
      <c r="H67" s="31"/>
      <c r="I67" s="31"/>
      <c r="J67" s="31"/>
      <c r="K67" s="31"/>
      <c r="L67" s="31"/>
      <c r="M67" s="31"/>
      <c r="N67" s="31"/>
    </row>
  </sheetData>
  <mergeCells count="2">
    <mergeCell ref="A1:N1"/>
    <mergeCell ref="A2:N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971C"/>
  </sheetPr>
  <dimension ref="A1:AN42"/>
  <sheetViews>
    <sheetView showGridLines="0" zoomScaleNormal="100" workbookViewId="0">
      <pane xSplit="5" ySplit="4" topLeftCell="F5" activePane="bottomRight" state="frozen"/>
      <selection pane="topRight" activeCell="F1" sqref="F1"/>
      <selection pane="bottomLeft" activeCell="A5" sqref="A5"/>
      <selection pane="bottomRight" activeCell="E7" sqref="E7"/>
    </sheetView>
  </sheetViews>
  <sheetFormatPr defaultColWidth="8.6640625" defaultRowHeight="14.4" x14ac:dyDescent="0.3"/>
  <cols>
    <col min="1" max="1" width="11" customWidth="1"/>
    <col min="2" max="2" width="26" customWidth="1"/>
    <col min="3" max="3" width="18" customWidth="1"/>
    <col min="4" max="4" width="8" customWidth="1"/>
    <col min="5" max="5" width="14" customWidth="1"/>
    <col min="6" max="7" width="9" customWidth="1"/>
    <col min="8" max="8" width="11" customWidth="1"/>
    <col min="9" max="10" width="9" customWidth="1"/>
    <col min="11" max="11" width="11" customWidth="1"/>
    <col min="12" max="13" width="9" customWidth="1"/>
    <col min="14" max="14" width="11" customWidth="1"/>
    <col min="15" max="16" width="9" customWidth="1"/>
    <col min="17" max="17" width="11" customWidth="1"/>
    <col min="18" max="19" width="9" customWidth="1"/>
    <col min="20" max="20" width="11" customWidth="1"/>
    <col min="21" max="22" width="9" customWidth="1"/>
    <col min="23" max="23" width="11" customWidth="1"/>
    <col min="24" max="25" width="9" customWidth="1"/>
    <col min="26" max="26" width="11" customWidth="1"/>
    <col min="27" max="28" width="9" customWidth="1"/>
    <col min="29" max="29" width="11" customWidth="1"/>
    <col min="30" max="31" width="9" customWidth="1"/>
    <col min="32" max="33" width="11" customWidth="1"/>
    <col min="34" max="34" width="12" customWidth="1"/>
    <col min="35" max="35" width="11" customWidth="1"/>
  </cols>
  <sheetData>
    <row r="1" spans="1:40" ht="25.5" customHeight="1" x14ac:dyDescent="0.3">
      <c r="A1" s="14" t="s">
        <v>407</v>
      </c>
      <c r="B1" s="14"/>
      <c r="C1" s="14"/>
      <c r="D1" s="14"/>
      <c r="E1" s="14"/>
      <c r="F1" s="14"/>
      <c r="G1" s="14"/>
      <c r="H1" s="14"/>
      <c r="I1" s="14"/>
      <c r="J1" s="14"/>
    </row>
    <row r="2" spans="1:40" x14ac:dyDescent="0.3">
      <c r="A2" s="13" t="s">
        <v>408</v>
      </c>
      <c r="B2" s="13"/>
      <c r="C2" s="13"/>
      <c r="D2" s="13"/>
      <c r="E2" s="13"/>
      <c r="F2" s="13"/>
      <c r="G2" s="13"/>
      <c r="H2" s="13"/>
      <c r="I2" s="13"/>
      <c r="J2" s="13"/>
    </row>
    <row r="3" spans="1:40" x14ac:dyDescent="0.3">
      <c r="A3" s="36" t="s">
        <v>409</v>
      </c>
      <c r="F3" s="65">
        <v>46206</v>
      </c>
      <c r="G3" s="65"/>
      <c r="H3" s="65"/>
      <c r="I3" s="65">
        <v>46218</v>
      </c>
      <c r="J3" s="65"/>
      <c r="K3" s="65"/>
      <c r="L3" s="66" t="s">
        <v>410</v>
      </c>
      <c r="M3" s="66"/>
      <c r="N3" s="66"/>
      <c r="O3" s="66" t="s">
        <v>410</v>
      </c>
      <c r="P3" s="66"/>
      <c r="Q3" s="66"/>
      <c r="R3" s="66" t="s">
        <v>410</v>
      </c>
      <c r="S3" s="66"/>
      <c r="T3" s="66"/>
      <c r="U3" s="66" t="s">
        <v>410</v>
      </c>
      <c r="V3" s="66"/>
      <c r="W3" s="66"/>
      <c r="X3" s="66" t="s">
        <v>410</v>
      </c>
      <c r="Y3" s="66"/>
      <c r="Z3" s="66"/>
      <c r="AA3" s="66" t="s">
        <v>410</v>
      </c>
      <c r="AB3" s="66"/>
      <c r="AC3" s="66"/>
      <c r="AD3" s="66" t="s">
        <v>410</v>
      </c>
      <c r="AE3" s="66"/>
      <c r="AF3" s="66"/>
    </row>
    <row r="4" spans="1:40" ht="30" customHeight="1" x14ac:dyDescent="0.3">
      <c r="A4" s="15" t="s">
        <v>93</v>
      </c>
      <c r="B4" s="15" t="s">
        <v>94</v>
      </c>
      <c r="C4" s="15" t="s">
        <v>95</v>
      </c>
      <c r="D4" s="15" t="s">
        <v>96</v>
      </c>
      <c r="E4" s="15" t="s">
        <v>411</v>
      </c>
      <c r="F4" s="15" t="s">
        <v>412</v>
      </c>
      <c r="G4" s="15" t="s">
        <v>413</v>
      </c>
      <c r="H4" s="15" t="s">
        <v>414</v>
      </c>
      <c r="I4" s="15" t="s">
        <v>415</v>
      </c>
      <c r="J4" s="15" t="s">
        <v>416</v>
      </c>
      <c r="K4" s="15" t="s">
        <v>417</v>
      </c>
      <c r="L4" s="15" t="s">
        <v>418</v>
      </c>
      <c r="M4" s="15" t="s">
        <v>419</v>
      </c>
      <c r="N4" s="15" t="s">
        <v>420</v>
      </c>
      <c r="O4" s="15" t="s">
        <v>421</v>
      </c>
      <c r="P4" s="15" t="s">
        <v>422</v>
      </c>
      <c r="Q4" s="15" t="s">
        <v>423</v>
      </c>
      <c r="R4" s="15" t="s">
        <v>424</v>
      </c>
      <c r="S4" s="15" t="s">
        <v>425</v>
      </c>
      <c r="T4" s="15" t="s">
        <v>426</v>
      </c>
      <c r="U4" s="15" t="s">
        <v>427</v>
      </c>
      <c r="V4" s="15" t="s">
        <v>428</v>
      </c>
      <c r="W4" s="15" t="s">
        <v>429</v>
      </c>
      <c r="X4" s="15" t="s">
        <v>430</v>
      </c>
      <c r="Y4" s="15" t="s">
        <v>431</v>
      </c>
      <c r="Z4" s="15" t="s">
        <v>432</v>
      </c>
      <c r="AA4" s="15" t="s">
        <v>433</v>
      </c>
      <c r="AB4" s="15" t="s">
        <v>434</v>
      </c>
      <c r="AC4" s="15" t="s">
        <v>435</v>
      </c>
      <c r="AD4" s="15" t="s">
        <v>436</v>
      </c>
      <c r="AE4" s="15" t="s">
        <v>437</v>
      </c>
      <c r="AF4" s="15" t="s">
        <v>438</v>
      </c>
      <c r="AG4" s="15" t="s">
        <v>439</v>
      </c>
      <c r="AH4" s="15" t="s">
        <v>440</v>
      </c>
      <c r="AI4" s="15" t="s">
        <v>441</v>
      </c>
    </row>
    <row r="5" spans="1:40" x14ac:dyDescent="0.3">
      <c r="A5" s="67" t="s">
        <v>98</v>
      </c>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row>
    <row r="6" spans="1:40" x14ac:dyDescent="0.3">
      <c r="A6" s="16" t="s">
        <v>99</v>
      </c>
      <c r="B6" s="16" t="s">
        <v>100</v>
      </c>
      <c r="C6" s="16" t="s">
        <v>101</v>
      </c>
      <c r="D6" s="16" t="s">
        <v>102</v>
      </c>
      <c r="E6" s="25">
        <f>'Item Master'!E5</f>
        <v>550</v>
      </c>
      <c r="F6" s="24">
        <v>45</v>
      </c>
      <c r="G6" s="20">
        <v>555</v>
      </c>
      <c r="H6" s="19">
        <f t="shared" ref="H6:H20" si="0">IFERROR(F6*G6,0)</f>
        <v>24975</v>
      </c>
      <c r="I6" s="24">
        <v>40</v>
      </c>
      <c r="J6" s="20">
        <v>560</v>
      </c>
      <c r="K6" s="19">
        <f t="shared" ref="K6:K20" si="1">IFERROR(I6*J6,0)</f>
        <v>22400</v>
      </c>
      <c r="L6" s="31"/>
      <c r="M6" s="31"/>
      <c r="N6" s="19">
        <f t="shared" ref="N6:N20" si="2">IFERROR(L6*M6,0)</f>
        <v>0</v>
      </c>
      <c r="O6" s="31"/>
      <c r="P6" s="31"/>
      <c r="Q6" s="19">
        <f t="shared" ref="Q6:Q20" si="3">IFERROR(O6*P6,0)</f>
        <v>0</v>
      </c>
      <c r="R6" s="31"/>
      <c r="S6" s="31"/>
      <c r="T6" s="19">
        <f t="shared" ref="T6:T20" si="4">IFERROR(R6*S6,0)</f>
        <v>0</v>
      </c>
      <c r="U6" s="31"/>
      <c r="V6" s="31"/>
      <c r="W6" s="19">
        <f t="shared" ref="W6:W20" si="5">IFERROR(U6*V6,0)</f>
        <v>0</v>
      </c>
      <c r="X6" s="31"/>
      <c r="Y6" s="31"/>
      <c r="Z6" s="19">
        <f t="shared" ref="Z6:Z20" si="6">IFERROR(X6*Y6,0)</f>
        <v>0</v>
      </c>
      <c r="AA6" s="31"/>
      <c r="AB6" s="31"/>
      <c r="AC6" s="19">
        <f t="shared" ref="AC6:AC20" si="7">IFERROR(AA6*AB6,0)</f>
        <v>0</v>
      </c>
      <c r="AD6" s="31"/>
      <c r="AE6" s="31"/>
      <c r="AF6" s="19">
        <f t="shared" ref="AF6:AF20" si="8">IFERROR(AD6*AE6,0)</f>
        <v>0</v>
      </c>
      <c r="AG6" s="37">
        <f t="shared" ref="AG6:AG20" si="9">F6+I6+L6+O6+R6+U6+X6+AA6+AD6</f>
        <v>85</v>
      </c>
      <c r="AH6" s="38">
        <f t="shared" ref="AH6:AH20" si="10">H6+K6+N6+Q6+T6+W6+Z6+AC6+AF6</f>
        <v>47375</v>
      </c>
      <c r="AI6" s="38">
        <f t="shared" ref="AI6:AI20" si="11">IFERROR(AH6/AG6,E6)</f>
        <v>557.35294117647061</v>
      </c>
    </row>
    <row r="7" spans="1:40" x14ac:dyDescent="0.3">
      <c r="A7" s="16" t="s">
        <v>103</v>
      </c>
      <c r="B7" s="16" t="s">
        <v>104</v>
      </c>
      <c r="C7" s="16" t="s">
        <v>101</v>
      </c>
      <c r="D7" s="16" t="s">
        <v>102</v>
      </c>
      <c r="E7" s="25">
        <f>'Item Master'!E6</f>
        <v>480</v>
      </c>
      <c r="F7" s="24">
        <v>40</v>
      </c>
      <c r="G7" s="20">
        <v>485</v>
      </c>
      <c r="H7" s="19">
        <f t="shared" si="0"/>
        <v>19400</v>
      </c>
      <c r="I7" s="24">
        <v>35</v>
      </c>
      <c r="J7" s="20">
        <v>480</v>
      </c>
      <c r="K7" s="19">
        <f t="shared" si="1"/>
        <v>16800</v>
      </c>
      <c r="L7" s="31"/>
      <c r="M7" s="31"/>
      <c r="N7" s="19">
        <f t="shared" si="2"/>
        <v>0</v>
      </c>
      <c r="O7" s="31"/>
      <c r="P7" s="31"/>
      <c r="Q7" s="19">
        <f t="shared" si="3"/>
        <v>0</v>
      </c>
      <c r="R7" s="31"/>
      <c r="S7" s="31"/>
      <c r="T7" s="19">
        <f t="shared" si="4"/>
        <v>0</v>
      </c>
      <c r="U7" s="31"/>
      <c r="V7" s="31"/>
      <c r="W7" s="19">
        <f t="shared" si="5"/>
        <v>0</v>
      </c>
      <c r="X7" s="31"/>
      <c r="Y7" s="31"/>
      <c r="Z7" s="19">
        <f t="shared" si="6"/>
        <v>0</v>
      </c>
      <c r="AA7" s="31"/>
      <c r="AB7" s="31"/>
      <c r="AC7" s="19">
        <f t="shared" si="7"/>
        <v>0</v>
      </c>
      <c r="AD7" s="31"/>
      <c r="AE7" s="31"/>
      <c r="AF7" s="19">
        <f t="shared" si="8"/>
        <v>0</v>
      </c>
      <c r="AG7" s="37">
        <f t="shared" si="9"/>
        <v>75</v>
      </c>
      <c r="AH7" s="38">
        <f t="shared" si="10"/>
        <v>36200</v>
      </c>
      <c r="AI7" s="38">
        <f t="shared" si="11"/>
        <v>482.66666666666669</v>
      </c>
    </row>
    <row r="8" spans="1:40" x14ac:dyDescent="0.3">
      <c r="A8" s="16" t="s">
        <v>105</v>
      </c>
      <c r="B8" s="16" t="s">
        <v>106</v>
      </c>
      <c r="C8" s="16" t="s">
        <v>101</v>
      </c>
      <c r="D8" s="16" t="s">
        <v>102</v>
      </c>
      <c r="E8" s="25">
        <f>'Item Master'!E7</f>
        <v>650</v>
      </c>
      <c r="F8" s="24">
        <v>20</v>
      </c>
      <c r="G8" s="20">
        <v>650</v>
      </c>
      <c r="H8" s="19">
        <f t="shared" si="0"/>
        <v>13000</v>
      </c>
      <c r="I8" s="31"/>
      <c r="J8" s="31"/>
      <c r="K8" s="19">
        <f t="shared" si="1"/>
        <v>0</v>
      </c>
      <c r="L8" s="31"/>
      <c r="M8" s="31"/>
      <c r="N8" s="19">
        <f t="shared" si="2"/>
        <v>0</v>
      </c>
      <c r="O8" s="31"/>
      <c r="P8" s="31"/>
      <c r="Q8" s="19">
        <f t="shared" si="3"/>
        <v>0</v>
      </c>
      <c r="R8" s="31"/>
      <c r="S8" s="31"/>
      <c r="T8" s="19">
        <f t="shared" si="4"/>
        <v>0</v>
      </c>
      <c r="U8" s="31"/>
      <c r="V8" s="31"/>
      <c r="W8" s="19">
        <f t="shared" si="5"/>
        <v>0</v>
      </c>
      <c r="X8" s="31"/>
      <c r="Y8" s="31"/>
      <c r="Z8" s="19">
        <f t="shared" si="6"/>
        <v>0</v>
      </c>
      <c r="AA8" s="31"/>
      <c r="AB8" s="31"/>
      <c r="AC8" s="19">
        <f t="shared" si="7"/>
        <v>0</v>
      </c>
      <c r="AD8" s="31"/>
      <c r="AE8" s="31"/>
      <c r="AF8" s="19">
        <f t="shared" si="8"/>
        <v>0</v>
      </c>
      <c r="AG8" s="37">
        <f t="shared" si="9"/>
        <v>20</v>
      </c>
      <c r="AH8" s="38">
        <f t="shared" si="10"/>
        <v>13000</v>
      </c>
      <c r="AI8" s="38">
        <f t="shared" si="11"/>
        <v>650</v>
      </c>
    </row>
    <row r="9" spans="1:40" x14ac:dyDescent="0.3">
      <c r="A9" s="16" t="s">
        <v>107</v>
      </c>
      <c r="B9" s="16" t="s">
        <v>108</v>
      </c>
      <c r="C9" s="16" t="s">
        <v>109</v>
      </c>
      <c r="D9" s="16" t="s">
        <v>102</v>
      </c>
      <c r="E9" s="25">
        <f>'Item Master'!E8</f>
        <v>60</v>
      </c>
      <c r="F9" s="24">
        <v>25</v>
      </c>
      <c r="G9" s="20">
        <v>58</v>
      </c>
      <c r="H9" s="19">
        <f t="shared" si="0"/>
        <v>1450</v>
      </c>
      <c r="I9" s="24">
        <v>25</v>
      </c>
      <c r="J9" s="20">
        <v>62</v>
      </c>
      <c r="K9" s="19">
        <f t="shared" si="1"/>
        <v>1550</v>
      </c>
      <c r="L9" s="31"/>
      <c r="M9" s="31"/>
      <c r="N9" s="19">
        <f t="shared" si="2"/>
        <v>0</v>
      </c>
      <c r="O9" s="31"/>
      <c r="P9" s="31"/>
      <c r="Q9" s="19">
        <f t="shared" si="3"/>
        <v>0</v>
      </c>
      <c r="R9" s="31"/>
      <c r="S9" s="31"/>
      <c r="T9" s="19">
        <f t="shared" si="4"/>
        <v>0</v>
      </c>
      <c r="U9" s="31"/>
      <c r="V9" s="31"/>
      <c r="W9" s="19">
        <f t="shared" si="5"/>
        <v>0</v>
      </c>
      <c r="X9" s="31"/>
      <c r="Y9" s="31"/>
      <c r="Z9" s="19">
        <f t="shared" si="6"/>
        <v>0</v>
      </c>
      <c r="AA9" s="31"/>
      <c r="AB9" s="31"/>
      <c r="AC9" s="19">
        <f t="shared" si="7"/>
        <v>0</v>
      </c>
      <c r="AD9" s="31"/>
      <c r="AE9" s="31"/>
      <c r="AF9" s="19">
        <f t="shared" si="8"/>
        <v>0</v>
      </c>
      <c r="AG9" s="37">
        <f t="shared" si="9"/>
        <v>50</v>
      </c>
      <c r="AH9" s="38">
        <f t="shared" si="10"/>
        <v>3000</v>
      </c>
      <c r="AI9" s="38">
        <f t="shared" si="11"/>
        <v>60</v>
      </c>
    </row>
    <row r="10" spans="1:40" x14ac:dyDescent="0.3">
      <c r="A10" s="16" t="s">
        <v>110</v>
      </c>
      <c r="B10" s="16" t="s">
        <v>111</v>
      </c>
      <c r="C10" s="16" t="s">
        <v>109</v>
      </c>
      <c r="D10" s="16" t="s">
        <v>102</v>
      </c>
      <c r="E10" s="25">
        <f>'Item Master'!E9</f>
        <v>55</v>
      </c>
      <c r="F10" s="24">
        <v>25</v>
      </c>
      <c r="G10" s="20">
        <v>55</v>
      </c>
      <c r="H10" s="19">
        <f t="shared" si="0"/>
        <v>1375</v>
      </c>
      <c r="I10" s="24">
        <v>25</v>
      </c>
      <c r="J10" s="20">
        <v>57</v>
      </c>
      <c r="K10" s="19">
        <f t="shared" si="1"/>
        <v>1425</v>
      </c>
      <c r="L10" s="31"/>
      <c r="M10" s="31"/>
      <c r="N10" s="19">
        <f t="shared" si="2"/>
        <v>0</v>
      </c>
      <c r="O10" s="31"/>
      <c r="P10" s="31"/>
      <c r="Q10" s="19">
        <f t="shared" si="3"/>
        <v>0</v>
      </c>
      <c r="R10" s="31"/>
      <c r="S10" s="31"/>
      <c r="T10" s="19">
        <f t="shared" si="4"/>
        <v>0</v>
      </c>
      <c r="U10" s="31"/>
      <c r="V10" s="31"/>
      <c r="W10" s="19">
        <f t="shared" si="5"/>
        <v>0</v>
      </c>
      <c r="X10" s="31"/>
      <c r="Y10" s="31"/>
      <c r="Z10" s="19">
        <f t="shared" si="6"/>
        <v>0</v>
      </c>
      <c r="AA10" s="31"/>
      <c r="AB10" s="31"/>
      <c r="AC10" s="19">
        <f t="shared" si="7"/>
        <v>0</v>
      </c>
      <c r="AD10" s="31"/>
      <c r="AE10" s="31"/>
      <c r="AF10" s="19">
        <f t="shared" si="8"/>
        <v>0</v>
      </c>
      <c r="AG10" s="37">
        <f t="shared" si="9"/>
        <v>50</v>
      </c>
      <c r="AH10" s="38">
        <f t="shared" si="10"/>
        <v>2800</v>
      </c>
      <c r="AI10" s="38">
        <f t="shared" si="11"/>
        <v>56</v>
      </c>
    </row>
    <row r="11" spans="1:40" x14ac:dyDescent="0.3">
      <c r="A11" s="16" t="s">
        <v>112</v>
      </c>
      <c r="B11" s="16" t="s">
        <v>113</v>
      </c>
      <c r="C11" s="16" t="s">
        <v>109</v>
      </c>
      <c r="D11" s="16" t="s">
        <v>102</v>
      </c>
      <c r="E11" s="25">
        <f>'Item Master'!E10</f>
        <v>40</v>
      </c>
      <c r="F11" s="24">
        <v>25</v>
      </c>
      <c r="G11" s="20">
        <v>40</v>
      </c>
      <c r="H11" s="19">
        <f t="shared" si="0"/>
        <v>1000</v>
      </c>
      <c r="I11" s="31"/>
      <c r="J11" s="31"/>
      <c r="K11" s="19">
        <f t="shared" si="1"/>
        <v>0</v>
      </c>
      <c r="L11" s="31"/>
      <c r="M11" s="31"/>
      <c r="N11" s="19">
        <f t="shared" si="2"/>
        <v>0</v>
      </c>
      <c r="O11" s="31"/>
      <c r="P11" s="31"/>
      <c r="Q11" s="19">
        <f t="shared" si="3"/>
        <v>0</v>
      </c>
      <c r="R11" s="31"/>
      <c r="S11" s="31"/>
      <c r="T11" s="19">
        <f t="shared" si="4"/>
        <v>0</v>
      </c>
      <c r="U11" s="31"/>
      <c r="V11" s="31"/>
      <c r="W11" s="19">
        <f t="shared" si="5"/>
        <v>0</v>
      </c>
      <c r="X11" s="31"/>
      <c r="Y11" s="31"/>
      <c r="Z11" s="19">
        <f t="shared" si="6"/>
        <v>0</v>
      </c>
      <c r="AA11" s="31"/>
      <c r="AB11" s="31"/>
      <c r="AC11" s="19">
        <f t="shared" si="7"/>
        <v>0</v>
      </c>
      <c r="AD11" s="31"/>
      <c r="AE11" s="31"/>
      <c r="AF11" s="19">
        <f t="shared" si="8"/>
        <v>0</v>
      </c>
      <c r="AG11" s="37">
        <f t="shared" si="9"/>
        <v>25</v>
      </c>
      <c r="AH11" s="38">
        <f t="shared" si="10"/>
        <v>1000</v>
      </c>
      <c r="AI11" s="38">
        <f t="shared" si="11"/>
        <v>40</v>
      </c>
    </row>
    <row r="12" spans="1:40" x14ac:dyDescent="0.3">
      <c r="A12" s="16" t="s">
        <v>114</v>
      </c>
      <c r="B12" s="16" t="s">
        <v>115</v>
      </c>
      <c r="C12" s="16" t="s">
        <v>116</v>
      </c>
      <c r="D12" s="16" t="s">
        <v>117</v>
      </c>
      <c r="E12" s="25">
        <f>'Item Master'!E11</f>
        <v>12</v>
      </c>
      <c r="F12" s="24">
        <v>150</v>
      </c>
      <c r="G12" s="20">
        <v>12</v>
      </c>
      <c r="H12" s="19">
        <f t="shared" si="0"/>
        <v>1800</v>
      </c>
      <c r="I12" s="31"/>
      <c r="J12" s="31"/>
      <c r="K12" s="19">
        <f t="shared" si="1"/>
        <v>0</v>
      </c>
      <c r="L12" s="31"/>
      <c r="M12" s="31"/>
      <c r="N12" s="19">
        <f t="shared" si="2"/>
        <v>0</v>
      </c>
      <c r="O12" s="31"/>
      <c r="P12" s="31"/>
      <c r="Q12" s="19">
        <f t="shared" si="3"/>
        <v>0</v>
      </c>
      <c r="R12" s="31"/>
      <c r="S12" s="31"/>
      <c r="T12" s="19">
        <f t="shared" si="4"/>
        <v>0</v>
      </c>
      <c r="U12" s="31"/>
      <c r="V12" s="31"/>
      <c r="W12" s="19">
        <f t="shared" si="5"/>
        <v>0</v>
      </c>
      <c r="X12" s="31"/>
      <c r="Y12" s="31"/>
      <c r="Z12" s="19">
        <f t="shared" si="6"/>
        <v>0</v>
      </c>
      <c r="AA12" s="31"/>
      <c r="AB12" s="31"/>
      <c r="AC12" s="19">
        <f t="shared" si="7"/>
        <v>0</v>
      </c>
      <c r="AD12" s="31"/>
      <c r="AE12" s="31"/>
      <c r="AF12" s="19">
        <f t="shared" si="8"/>
        <v>0</v>
      </c>
      <c r="AG12" s="37">
        <f t="shared" si="9"/>
        <v>150</v>
      </c>
      <c r="AH12" s="38">
        <f t="shared" si="10"/>
        <v>1800</v>
      </c>
      <c r="AI12" s="38">
        <f t="shared" si="11"/>
        <v>12</v>
      </c>
    </row>
    <row r="13" spans="1:40" x14ac:dyDescent="0.3">
      <c r="A13" s="16" t="s">
        <v>118</v>
      </c>
      <c r="B13" s="16" t="s">
        <v>119</v>
      </c>
      <c r="C13" s="16" t="s">
        <v>120</v>
      </c>
      <c r="D13" s="16" t="s">
        <v>102</v>
      </c>
      <c r="E13" s="25">
        <f>'Item Master'!E12</f>
        <v>55</v>
      </c>
      <c r="F13" s="24">
        <v>60</v>
      </c>
      <c r="G13" s="20">
        <v>55</v>
      </c>
      <c r="H13" s="19">
        <f t="shared" si="0"/>
        <v>3300</v>
      </c>
      <c r="I13" s="31"/>
      <c r="J13" s="31"/>
      <c r="K13" s="19">
        <f t="shared" si="1"/>
        <v>0</v>
      </c>
      <c r="L13" s="31"/>
      <c r="M13" s="31"/>
      <c r="N13" s="19">
        <f t="shared" si="2"/>
        <v>0</v>
      </c>
      <c r="O13" s="31"/>
      <c r="P13" s="31"/>
      <c r="Q13" s="19">
        <f t="shared" si="3"/>
        <v>0</v>
      </c>
      <c r="R13" s="31"/>
      <c r="S13" s="31"/>
      <c r="T13" s="19">
        <f t="shared" si="4"/>
        <v>0</v>
      </c>
      <c r="U13" s="31"/>
      <c r="V13" s="31"/>
      <c r="W13" s="19">
        <f t="shared" si="5"/>
        <v>0</v>
      </c>
      <c r="X13" s="31"/>
      <c r="Y13" s="31"/>
      <c r="Z13" s="19">
        <f t="shared" si="6"/>
        <v>0</v>
      </c>
      <c r="AA13" s="31"/>
      <c r="AB13" s="31"/>
      <c r="AC13" s="19">
        <f t="shared" si="7"/>
        <v>0</v>
      </c>
      <c r="AD13" s="31"/>
      <c r="AE13" s="31"/>
      <c r="AF13" s="19">
        <f t="shared" si="8"/>
        <v>0</v>
      </c>
      <c r="AG13" s="37">
        <f t="shared" si="9"/>
        <v>60</v>
      </c>
      <c r="AH13" s="38">
        <f t="shared" si="10"/>
        <v>3300</v>
      </c>
      <c r="AI13" s="38">
        <f t="shared" si="11"/>
        <v>55</v>
      </c>
    </row>
    <row r="14" spans="1:40" x14ac:dyDescent="0.3">
      <c r="A14" s="16" t="s">
        <v>121</v>
      </c>
      <c r="B14" s="16" t="s">
        <v>122</v>
      </c>
      <c r="C14" s="16" t="s">
        <v>116</v>
      </c>
      <c r="D14" s="16" t="s">
        <v>102</v>
      </c>
      <c r="E14" s="25">
        <f>'Item Master'!E13</f>
        <v>480</v>
      </c>
      <c r="F14" s="24">
        <v>20</v>
      </c>
      <c r="G14" s="20">
        <v>480</v>
      </c>
      <c r="H14" s="19">
        <f t="shared" si="0"/>
        <v>9600</v>
      </c>
      <c r="I14" s="31"/>
      <c r="J14" s="31"/>
      <c r="K14" s="19">
        <f t="shared" si="1"/>
        <v>0</v>
      </c>
      <c r="L14" s="31"/>
      <c r="M14" s="31"/>
      <c r="N14" s="19">
        <f t="shared" si="2"/>
        <v>0</v>
      </c>
      <c r="O14" s="31"/>
      <c r="P14" s="31"/>
      <c r="Q14" s="19">
        <f t="shared" si="3"/>
        <v>0</v>
      </c>
      <c r="R14" s="31"/>
      <c r="S14" s="31"/>
      <c r="T14" s="19">
        <f t="shared" si="4"/>
        <v>0</v>
      </c>
      <c r="U14" s="31"/>
      <c r="V14" s="31"/>
      <c r="W14" s="19">
        <f t="shared" si="5"/>
        <v>0</v>
      </c>
      <c r="X14" s="31"/>
      <c r="Y14" s="31"/>
      <c r="Z14" s="19">
        <f t="shared" si="6"/>
        <v>0</v>
      </c>
      <c r="AA14" s="31"/>
      <c r="AB14" s="31"/>
      <c r="AC14" s="19">
        <f t="shared" si="7"/>
        <v>0</v>
      </c>
      <c r="AD14" s="31"/>
      <c r="AE14" s="31"/>
      <c r="AF14" s="19">
        <f t="shared" si="8"/>
        <v>0</v>
      </c>
      <c r="AG14" s="37">
        <f t="shared" si="9"/>
        <v>20</v>
      </c>
      <c r="AH14" s="38">
        <f t="shared" si="10"/>
        <v>9600</v>
      </c>
      <c r="AI14" s="38">
        <f t="shared" si="11"/>
        <v>480</v>
      </c>
    </row>
    <row r="15" spans="1:40" x14ac:dyDescent="0.3">
      <c r="A15" s="16" t="s">
        <v>123</v>
      </c>
      <c r="B15" s="16" t="s">
        <v>124</v>
      </c>
      <c r="C15" s="16" t="s">
        <v>116</v>
      </c>
      <c r="D15" s="16" t="s">
        <v>117</v>
      </c>
      <c r="E15" s="25">
        <f>'Item Master'!E14</f>
        <v>8</v>
      </c>
      <c r="F15" s="24">
        <v>150</v>
      </c>
      <c r="G15" s="20">
        <v>8</v>
      </c>
      <c r="H15" s="19">
        <f t="shared" si="0"/>
        <v>1200</v>
      </c>
      <c r="I15" s="31"/>
      <c r="J15" s="31"/>
      <c r="K15" s="19">
        <f t="shared" si="1"/>
        <v>0</v>
      </c>
      <c r="L15" s="31"/>
      <c r="M15" s="31"/>
      <c r="N15" s="19">
        <f t="shared" si="2"/>
        <v>0</v>
      </c>
      <c r="O15" s="31"/>
      <c r="P15" s="31"/>
      <c r="Q15" s="19">
        <f t="shared" si="3"/>
        <v>0</v>
      </c>
      <c r="R15" s="31"/>
      <c r="S15" s="31"/>
      <c r="T15" s="19">
        <f t="shared" si="4"/>
        <v>0</v>
      </c>
      <c r="U15" s="31"/>
      <c r="V15" s="31"/>
      <c r="W15" s="19">
        <f t="shared" si="5"/>
        <v>0</v>
      </c>
      <c r="X15" s="31"/>
      <c r="Y15" s="31"/>
      <c r="Z15" s="19">
        <f t="shared" si="6"/>
        <v>0</v>
      </c>
      <c r="AA15" s="31"/>
      <c r="AB15" s="31"/>
      <c r="AC15" s="19">
        <f t="shared" si="7"/>
        <v>0</v>
      </c>
      <c r="AD15" s="31"/>
      <c r="AE15" s="31"/>
      <c r="AF15" s="19">
        <f t="shared" si="8"/>
        <v>0</v>
      </c>
      <c r="AG15" s="37">
        <f t="shared" si="9"/>
        <v>150</v>
      </c>
      <c r="AH15" s="38">
        <f t="shared" si="10"/>
        <v>1200</v>
      </c>
      <c r="AI15" s="38">
        <f t="shared" si="11"/>
        <v>8</v>
      </c>
    </row>
    <row r="16" spans="1:40" x14ac:dyDescent="0.3">
      <c r="A16" s="16" t="s">
        <v>125</v>
      </c>
      <c r="B16" s="16" t="s">
        <v>126</v>
      </c>
      <c r="C16" s="16" t="s">
        <v>120</v>
      </c>
      <c r="D16" s="16" t="s">
        <v>102</v>
      </c>
      <c r="E16" s="25">
        <f>'Item Master'!E15</f>
        <v>120</v>
      </c>
      <c r="F16" s="24">
        <v>35</v>
      </c>
      <c r="G16" s="20">
        <v>120</v>
      </c>
      <c r="H16" s="19">
        <f t="shared" si="0"/>
        <v>4200</v>
      </c>
      <c r="I16" s="31"/>
      <c r="J16" s="31"/>
      <c r="K16" s="19">
        <f t="shared" si="1"/>
        <v>0</v>
      </c>
      <c r="L16" s="31"/>
      <c r="M16" s="31"/>
      <c r="N16" s="19">
        <f t="shared" si="2"/>
        <v>0</v>
      </c>
      <c r="O16" s="31"/>
      <c r="P16" s="31"/>
      <c r="Q16" s="19">
        <f t="shared" si="3"/>
        <v>0</v>
      </c>
      <c r="R16" s="31"/>
      <c r="S16" s="31"/>
      <c r="T16" s="19">
        <f t="shared" si="4"/>
        <v>0</v>
      </c>
      <c r="U16" s="31"/>
      <c r="V16" s="31"/>
      <c r="W16" s="19">
        <f t="shared" si="5"/>
        <v>0</v>
      </c>
      <c r="X16" s="31"/>
      <c r="Y16" s="31"/>
      <c r="Z16" s="19">
        <f t="shared" si="6"/>
        <v>0</v>
      </c>
      <c r="AA16" s="31"/>
      <c r="AB16" s="31"/>
      <c r="AC16" s="19">
        <f t="shared" si="7"/>
        <v>0</v>
      </c>
      <c r="AD16" s="31"/>
      <c r="AE16" s="31"/>
      <c r="AF16" s="19">
        <f t="shared" si="8"/>
        <v>0</v>
      </c>
      <c r="AG16" s="37">
        <f t="shared" si="9"/>
        <v>35</v>
      </c>
      <c r="AH16" s="38">
        <f t="shared" si="10"/>
        <v>4200</v>
      </c>
      <c r="AI16" s="38">
        <f t="shared" si="11"/>
        <v>120</v>
      </c>
    </row>
    <row r="17" spans="1:40" x14ac:dyDescent="0.3">
      <c r="A17" s="16" t="s">
        <v>127</v>
      </c>
      <c r="B17" s="16" t="s">
        <v>128</v>
      </c>
      <c r="C17" s="16" t="s">
        <v>120</v>
      </c>
      <c r="D17" s="16" t="s">
        <v>117</v>
      </c>
      <c r="E17" s="25">
        <f>'Item Master'!E16</f>
        <v>15</v>
      </c>
      <c r="F17" s="24">
        <v>90</v>
      </c>
      <c r="G17" s="20">
        <v>15</v>
      </c>
      <c r="H17" s="19">
        <f t="shared" si="0"/>
        <v>1350</v>
      </c>
      <c r="I17" s="31"/>
      <c r="J17" s="31"/>
      <c r="K17" s="19">
        <f t="shared" si="1"/>
        <v>0</v>
      </c>
      <c r="L17" s="31"/>
      <c r="M17" s="31"/>
      <c r="N17" s="19">
        <f t="shared" si="2"/>
        <v>0</v>
      </c>
      <c r="O17" s="31"/>
      <c r="P17" s="31"/>
      <c r="Q17" s="19">
        <f t="shared" si="3"/>
        <v>0</v>
      </c>
      <c r="R17" s="31"/>
      <c r="S17" s="31"/>
      <c r="T17" s="19">
        <f t="shared" si="4"/>
        <v>0</v>
      </c>
      <c r="U17" s="31"/>
      <c r="V17" s="31"/>
      <c r="W17" s="19">
        <f t="shared" si="5"/>
        <v>0</v>
      </c>
      <c r="X17" s="31"/>
      <c r="Y17" s="31"/>
      <c r="Z17" s="19">
        <f t="shared" si="6"/>
        <v>0</v>
      </c>
      <c r="AA17" s="31"/>
      <c r="AB17" s="31"/>
      <c r="AC17" s="19">
        <f t="shared" si="7"/>
        <v>0</v>
      </c>
      <c r="AD17" s="31"/>
      <c r="AE17" s="31"/>
      <c r="AF17" s="19">
        <f t="shared" si="8"/>
        <v>0</v>
      </c>
      <c r="AG17" s="37">
        <f t="shared" si="9"/>
        <v>90</v>
      </c>
      <c r="AH17" s="38">
        <f t="shared" si="10"/>
        <v>1350</v>
      </c>
      <c r="AI17" s="38">
        <f t="shared" si="11"/>
        <v>15</v>
      </c>
    </row>
    <row r="18" spans="1:40" x14ac:dyDescent="0.3">
      <c r="A18" s="16" t="s">
        <v>129</v>
      </c>
      <c r="B18" s="16" t="s">
        <v>130</v>
      </c>
      <c r="C18" s="16" t="s">
        <v>131</v>
      </c>
      <c r="D18" s="16" t="s">
        <v>102</v>
      </c>
      <c r="E18" s="25">
        <f>'Item Master'!E17</f>
        <v>220</v>
      </c>
      <c r="F18" s="24">
        <v>35</v>
      </c>
      <c r="G18" s="20">
        <v>220</v>
      </c>
      <c r="H18" s="19">
        <f t="shared" si="0"/>
        <v>7700</v>
      </c>
      <c r="I18" s="31"/>
      <c r="J18" s="31"/>
      <c r="K18" s="19">
        <f t="shared" si="1"/>
        <v>0</v>
      </c>
      <c r="L18" s="31"/>
      <c r="M18" s="31"/>
      <c r="N18" s="19">
        <f t="shared" si="2"/>
        <v>0</v>
      </c>
      <c r="O18" s="31"/>
      <c r="P18" s="31"/>
      <c r="Q18" s="19">
        <f t="shared" si="3"/>
        <v>0</v>
      </c>
      <c r="R18" s="31"/>
      <c r="S18" s="31"/>
      <c r="T18" s="19">
        <f t="shared" si="4"/>
        <v>0</v>
      </c>
      <c r="U18" s="31"/>
      <c r="V18" s="31"/>
      <c r="W18" s="19">
        <f t="shared" si="5"/>
        <v>0</v>
      </c>
      <c r="X18" s="31"/>
      <c r="Y18" s="31"/>
      <c r="Z18" s="19">
        <f t="shared" si="6"/>
        <v>0</v>
      </c>
      <c r="AA18" s="31"/>
      <c r="AB18" s="31"/>
      <c r="AC18" s="19">
        <f t="shared" si="7"/>
        <v>0</v>
      </c>
      <c r="AD18" s="31"/>
      <c r="AE18" s="31"/>
      <c r="AF18" s="19">
        <f t="shared" si="8"/>
        <v>0</v>
      </c>
      <c r="AG18" s="37">
        <f t="shared" si="9"/>
        <v>35</v>
      </c>
      <c r="AH18" s="38">
        <f t="shared" si="10"/>
        <v>7700</v>
      </c>
      <c r="AI18" s="38">
        <f t="shared" si="11"/>
        <v>220</v>
      </c>
    </row>
    <row r="19" spans="1:40" x14ac:dyDescent="0.3">
      <c r="A19" s="16" t="s">
        <v>132</v>
      </c>
      <c r="B19" s="16" t="s">
        <v>133</v>
      </c>
      <c r="C19" s="16" t="s">
        <v>131</v>
      </c>
      <c r="D19" s="16" t="s">
        <v>102</v>
      </c>
      <c r="E19" s="25">
        <f>'Item Master'!E18</f>
        <v>180</v>
      </c>
      <c r="F19" s="24">
        <v>35</v>
      </c>
      <c r="G19" s="20">
        <v>180</v>
      </c>
      <c r="H19" s="19">
        <f t="shared" si="0"/>
        <v>6300</v>
      </c>
      <c r="I19" s="31"/>
      <c r="J19" s="31"/>
      <c r="K19" s="19">
        <f t="shared" si="1"/>
        <v>0</v>
      </c>
      <c r="L19" s="31"/>
      <c r="M19" s="31"/>
      <c r="N19" s="19">
        <f t="shared" si="2"/>
        <v>0</v>
      </c>
      <c r="O19" s="31"/>
      <c r="P19" s="31"/>
      <c r="Q19" s="19">
        <f t="shared" si="3"/>
        <v>0</v>
      </c>
      <c r="R19" s="31"/>
      <c r="S19" s="31"/>
      <c r="T19" s="19">
        <f t="shared" si="4"/>
        <v>0</v>
      </c>
      <c r="U19" s="31"/>
      <c r="V19" s="31"/>
      <c r="W19" s="19">
        <f t="shared" si="5"/>
        <v>0</v>
      </c>
      <c r="X19" s="31"/>
      <c r="Y19" s="31"/>
      <c r="Z19" s="19">
        <f t="shared" si="6"/>
        <v>0</v>
      </c>
      <c r="AA19" s="31"/>
      <c r="AB19" s="31"/>
      <c r="AC19" s="19">
        <f t="shared" si="7"/>
        <v>0</v>
      </c>
      <c r="AD19" s="31"/>
      <c r="AE19" s="31"/>
      <c r="AF19" s="19">
        <f t="shared" si="8"/>
        <v>0</v>
      </c>
      <c r="AG19" s="37">
        <f t="shared" si="9"/>
        <v>35</v>
      </c>
      <c r="AH19" s="38">
        <f t="shared" si="10"/>
        <v>6300</v>
      </c>
      <c r="AI19" s="38">
        <f t="shared" si="11"/>
        <v>180</v>
      </c>
    </row>
    <row r="20" spans="1:40" x14ac:dyDescent="0.3">
      <c r="A20" s="16" t="s">
        <v>134</v>
      </c>
      <c r="B20" s="16" t="s">
        <v>135</v>
      </c>
      <c r="C20" s="16" t="s">
        <v>116</v>
      </c>
      <c r="D20" s="16" t="s">
        <v>102</v>
      </c>
      <c r="E20" s="25">
        <f>'Item Master'!E19</f>
        <v>620</v>
      </c>
      <c r="F20" s="24">
        <v>25</v>
      </c>
      <c r="G20" s="20">
        <v>620</v>
      </c>
      <c r="H20" s="19">
        <f t="shared" si="0"/>
        <v>15500</v>
      </c>
      <c r="I20" s="31"/>
      <c r="J20" s="31"/>
      <c r="K20" s="19">
        <f t="shared" si="1"/>
        <v>0</v>
      </c>
      <c r="L20" s="31"/>
      <c r="M20" s="31"/>
      <c r="N20" s="19">
        <f t="shared" si="2"/>
        <v>0</v>
      </c>
      <c r="O20" s="31"/>
      <c r="P20" s="31"/>
      <c r="Q20" s="19">
        <f t="shared" si="3"/>
        <v>0</v>
      </c>
      <c r="R20" s="31"/>
      <c r="S20" s="31"/>
      <c r="T20" s="19">
        <f t="shared" si="4"/>
        <v>0</v>
      </c>
      <c r="U20" s="31"/>
      <c r="V20" s="31"/>
      <c r="W20" s="19">
        <f t="shared" si="5"/>
        <v>0</v>
      </c>
      <c r="X20" s="31"/>
      <c r="Y20" s="31"/>
      <c r="Z20" s="19">
        <f t="shared" si="6"/>
        <v>0</v>
      </c>
      <c r="AA20" s="31"/>
      <c r="AB20" s="31"/>
      <c r="AC20" s="19">
        <f t="shared" si="7"/>
        <v>0</v>
      </c>
      <c r="AD20" s="31"/>
      <c r="AE20" s="31"/>
      <c r="AF20" s="19">
        <f t="shared" si="8"/>
        <v>0</v>
      </c>
      <c r="AG20" s="37">
        <f t="shared" si="9"/>
        <v>25</v>
      </c>
      <c r="AH20" s="38">
        <f t="shared" si="10"/>
        <v>15500</v>
      </c>
      <c r="AI20" s="38">
        <f t="shared" si="11"/>
        <v>620</v>
      </c>
    </row>
    <row r="21" spans="1:40" x14ac:dyDescent="0.3">
      <c r="A21" s="67" t="s">
        <v>136</v>
      </c>
      <c r="B21" s="67"/>
      <c r="C21" s="67"/>
      <c r="D21" s="67"/>
      <c r="E21" s="67"/>
      <c r="F21" s="67"/>
      <c r="G21" s="67"/>
      <c r="H21" s="67"/>
      <c r="I21" s="67"/>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row>
    <row r="22" spans="1:40" x14ac:dyDescent="0.3">
      <c r="A22" s="16" t="s">
        <v>137</v>
      </c>
      <c r="B22" s="16" t="s">
        <v>138</v>
      </c>
      <c r="C22" s="16" t="s">
        <v>139</v>
      </c>
      <c r="D22" s="16" t="s">
        <v>102</v>
      </c>
      <c r="E22" s="25">
        <f>'Item Master'!E21</f>
        <v>900</v>
      </c>
      <c r="F22" s="24">
        <v>25</v>
      </c>
      <c r="G22" s="20">
        <v>900</v>
      </c>
      <c r="H22" s="19">
        <f t="shared" ref="H22:H32" si="12">IFERROR(F22*G22,0)</f>
        <v>22500</v>
      </c>
      <c r="I22" s="31"/>
      <c r="J22" s="31"/>
      <c r="K22" s="19">
        <f t="shared" ref="K22:K32" si="13">IFERROR(I22*J22,0)</f>
        <v>0</v>
      </c>
      <c r="L22" s="31"/>
      <c r="M22" s="31"/>
      <c r="N22" s="19">
        <f t="shared" ref="N22:N32" si="14">IFERROR(L22*M22,0)</f>
        <v>0</v>
      </c>
      <c r="O22" s="31"/>
      <c r="P22" s="31"/>
      <c r="Q22" s="19">
        <f t="shared" ref="Q22:Q32" si="15">IFERROR(O22*P22,0)</f>
        <v>0</v>
      </c>
      <c r="R22" s="31"/>
      <c r="S22" s="31"/>
      <c r="T22" s="19">
        <f t="shared" ref="T22:T32" si="16">IFERROR(R22*S22,0)</f>
        <v>0</v>
      </c>
      <c r="U22" s="31"/>
      <c r="V22" s="31"/>
      <c r="W22" s="19">
        <f t="shared" ref="W22:W32" si="17">IFERROR(U22*V22,0)</f>
        <v>0</v>
      </c>
      <c r="X22" s="31"/>
      <c r="Y22" s="31"/>
      <c r="Z22" s="19">
        <f t="shared" ref="Z22:Z32" si="18">IFERROR(X22*Y22,0)</f>
        <v>0</v>
      </c>
      <c r="AA22" s="31"/>
      <c r="AB22" s="31"/>
      <c r="AC22" s="19">
        <f t="shared" ref="AC22:AC32" si="19">IFERROR(AA22*AB22,0)</f>
        <v>0</v>
      </c>
      <c r="AD22" s="31"/>
      <c r="AE22" s="31"/>
      <c r="AF22" s="19">
        <f t="shared" ref="AF22:AF32" si="20">IFERROR(AD22*AE22,0)</f>
        <v>0</v>
      </c>
      <c r="AG22" s="37">
        <f t="shared" ref="AG22:AG32" si="21">F22+I22+L22+O22+R22+U22+X22+AA22+AD22</f>
        <v>25</v>
      </c>
      <c r="AH22" s="38">
        <f t="shared" ref="AH22:AH32" si="22">H22+K22+N22+Q22+T22+W22+Z22+AC22+AF22</f>
        <v>22500</v>
      </c>
      <c r="AI22" s="38">
        <f t="shared" ref="AI22:AI32" si="23">IFERROR(AH22/AG22,E22)</f>
        <v>900</v>
      </c>
    </row>
    <row r="23" spans="1:40" x14ac:dyDescent="0.3">
      <c r="A23" s="16" t="s">
        <v>140</v>
      </c>
      <c r="B23" s="16" t="s">
        <v>141</v>
      </c>
      <c r="C23" s="16" t="s">
        <v>139</v>
      </c>
      <c r="D23" s="16" t="s">
        <v>117</v>
      </c>
      <c r="E23" s="25">
        <f>'Item Master'!E22</f>
        <v>3</v>
      </c>
      <c r="F23" s="31"/>
      <c r="G23" s="31"/>
      <c r="H23" s="19">
        <f t="shared" si="12"/>
        <v>0</v>
      </c>
      <c r="I23" s="31"/>
      <c r="J23" s="31"/>
      <c r="K23" s="19">
        <f t="shared" si="13"/>
        <v>0</v>
      </c>
      <c r="L23" s="31"/>
      <c r="M23" s="31"/>
      <c r="N23" s="19">
        <f t="shared" si="14"/>
        <v>0</v>
      </c>
      <c r="O23" s="31"/>
      <c r="P23" s="31"/>
      <c r="Q23" s="19">
        <f t="shared" si="15"/>
        <v>0</v>
      </c>
      <c r="R23" s="31"/>
      <c r="S23" s="31"/>
      <c r="T23" s="19">
        <f t="shared" si="16"/>
        <v>0</v>
      </c>
      <c r="U23" s="31"/>
      <c r="V23" s="31"/>
      <c r="W23" s="19">
        <f t="shared" si="17"/>
        <v>0</v>
      </c>
      <c r="X23" s="31"/>
      <c r="Y23" s="31"/>
      <c r="Z23" s="19">
        <f t="shared" si="18"/>
        <v>0</v>
      </c>
      <c r="AA23" s="31"/>
      <c r="AB23" s="31"/>
      <c r="AC23" s="19">
        <f t="shared" si="19"/>
        <v>0</v>
      </c>
      <c r="AD23" s="31"/>
      <c r="AE23" s="31"/>
      <c r="AF23" s="19">
        <f t="shared" si="20"/>
        <v>0</v>
      </c>
      <c r="AG23" s="37">
        <f t="shared" si="21"/>
        <v>0</v>
      </c>
      <c r="AH23" s="38">
        <f t="shared" si="22"/>
        <v>0</v>
      </c>
      <c r="AI23" s="38">
        <f t="shared" si="23"/>
        <v>3</v>
      </c>
    </row>
    <row r="24" spans="1:40" x14ac:dyDescent="0.3">
      <c r="A24" s="16" t="s">
        <v>142</v>
      </c>
      <c r="B24" s="16" t="s">
        <v>143</v>
      </c>
      <c r="C24" s="16" t="s">
        <v>139</v>
      </c>
      <c r="D24" s="16" t="s">
        <v>117</v>
      </c>
      <c r="E24" s="25">
        <f>'Item Master'!E23</f>
        <v>4</v>
      </c>
      <c r="F24" s="31"/>
      <c r="G24" s="31"/>
      <c r="H24" s="19">
        <f t="shared" si="12"/>
        <v>0</v>
      </c>
      <c r="I24" s="31"/>
      <c r="J24" s="31"/>
      <c r="K24" s="19">
        <f t="shared" si="13"/>
        <v>0</v>
      </c>
      <c r="L24" s="31"/>
      <c r="M24" s="31"/>
      <c r="N24" s="19">
        <f t="shared" si="14"/>
        <v>0</v>
      </c>
      <c r="O24" s="31"/>
      <c r="P24" s="31"/>
      <c r="Q24" s="19">
        <f t="shared" si="15"/>
        <v>0</v>
      </c>
      <c r="R24" s="31"/>
      <c r="S24" s="31"/>
      <c r="T24" s="19">
        <f t="shared" si="16"/>
        <v>0</v>
      </c>
      <c r="U24" s="31"/>
      <c r="V24" s="31"/>
      <c r="W24" s="19">
        <f t="shared" si="17"/>
        <v>0</v>
      </c>
      <c r="X24" s="31"/>
      <c r="Y24" s="31"/>
      <c r="Z24" s="19">
        <f t="shared" si="18"/>
        <v>0</v>
      </c>
      <c r="AA24" s="31"/>
      <c r="AB24" s="31"/>
      <c r="AC24" s="19">
        <f t="shared" si="19"/>
        <v>0</v>
      </c>
      <c r="AD24" s="31"/>
      <c r="AE24" s="31"/>
      <c r="AF24" s="19">
        <f t="shared" si="20"/>
        <v>0</v>
      </c>
      <c r="AG24" s="37">
        <f t="shared" si="21"/>
        <v>0</v>
      </c>
      <c r="AH24" s="38">
        <f t="shared" si="22"/>
        <v>0</v>
      </c>
      <c r="AI24" s="38">
        <f t="shared" si="23"/>
        <v>4</v>
      </c>
    </row>
    <row r="25" spans="1:40" x14ac:dyDescent="0.3">
      <c r="A25" s="16" t="s">
        <v>144</v>
      </c>
      <c r="B25" s="16" t="s">
        <v>145</v>
      </c>
      <c r="C25" s="16" t="s">
        <v>146</v>
      </c>
      <c r="D25" s="16" t="s">
        <v>147</v>
      </c>
      <c r="E25" s="25">
        <f>'Item Master'!E24</f>
        <v>65</v>
      </c>
      <c r="F25" s="24">
        <v>70</v>
      </c>
      <c r="G25" s="20">
        <v>65</v>
      </c>
      <c r="H25" s="19">
        <f t="shared" si="12"/>
        <v>4550</v>
      </c>
      <c r="I25" s="24">
        <v>60</v>
      </c>
      <c r="J25" s="20">
        <v>66</v>
      </c>
      <c r="K25" s="19">
        <f t="shared" si="13"/>
        <v>3960</v>
      </c>
      <c r="L25" s="31"/>
      <c r="M25" s="31"/>
      <c r="N25" s="19">
        <f t="shared" si="14"/>
        <v>0</v>
      </c>
      <c r="O25" s="31"/>
      <c r="P25" s="31"/>
      <c r="Q25" s="19">
        <f t="shared" si="15"/>
        <v>0</v>
      </c>
      <c r="R25" s="31"/>
      <c r="S25" s="31"/>
      <c r="T25" s="19">
        <f t="shared" si="16"/>
        <v>0</v>
      </c>
      <c r="U25" s="31"/>
      <c r="V25" s="31"/>
      <c r="W25" s="19">
        <f t="shared" si="17"/>
        <v>0</v>
      </c>
      <c r="X25" s="31"/>
      <c r="Y25" s="31"/>
      <c r="Z25" s="19">
        <f t="shared" si="18"/>
        <v>0</v>
      </c>
      <c r="AA25" s="31"/>
      <c r="AB25" s="31"/>
      <c r="AC25" s="19">
        <f t="shared" si="19"/>
        <v>0</v>
      </c>
      <c r="AD25" s="31"/>
      <c r="AE25" s="31"/>
      <c r="AF25" s="19">
        <f t="shared" si="20"/>
        <v>0</v>
      </c>
      <c r="AG25" s="37">
        <f t="shared" si="21"/>
        <v>130</v>
      </c>
      <c r="AH25" s="38">
        <f t="shared" si="22"/>
        <v>8510</v>
      </c>
      <c r="AI25" s="38">
        <f t="shared" si="23"/>
        <v>65.461538461538467</v>
      </c>
    </row>
    <row r="26" spans="1:40" x14ac:dyDescent="0.3">
      <c r="A26" s="16" t="s">
        <v>148</v>
      </c>
      <c r="B26" s="16" t="s">
        <v>149</v>
      </c>
      <c r="C26" s="16" t="s">
        <v>139</v>
      </c>
      <c r="D26" s="16" t="s">
        <v>102</v>
      </c>
      <c r="E26" s="25">
        <f>'Item Master'!E25</f>
        <v>350</v>
      </c>
      <c r="F26" s="31"/>
      <c r="G26" s="31"/>
      <c r="H26" s="19">
        <f t="shared" si="12"/>
        <v>0</v>
      </c>
      <c r="I26" s="31"/>
      <c r="J26" s="31"/>
      <c r="K26" s="19">
        <f t="shared" si="13"/>
        <v>0</v>
      </c>
      <c r="L26" s="31"/>
      <c r="M26" s="31"/>
      <c r="N26" s="19">
        <f t="shared" si="14"/>
        <v>0</v>
      </c>
      <c r="O26" s="31"/>
      <c r="P26" s="31"/>
      <c r="Q26" s="19">
        <f t="shared" si="15"/>
        <v>0</v>
      </c>
      <c r="R26" s="31"/>
      <c r="S26" s="31"/>
      <c r="T26" s="19">
        <f t="shared" si="16"/>
        <v>0</v>
      </c>
      <c r="U26" s="31"/>
      <c r="V26" s="31"/>
      <c r="W26" s="19">
        <f t="shared" si="17"/>
        <v>0</v>
      </c>
      <c r="X26" s="31"/>
      <c r="Y26" s="31"/>
      <c r="Z26" s="19">
        <f t="shared" si="18"/>
        <v>0</v>
      </c>
      <c r="AA26" s="31"/>
      <c r="AB26" s="31"/>
      <c r="AC26" s="19">
        <f t="shared" si="19"/>
        <v>0</v>
      </c>
      <c r="AD26" s="31"/>
      <c r="AE26" s="31"/>
      <c r="AF26" s="19">
        <f t="shared" si="20"/>
        <v>0</v>
      </c>
      <c r="AG26" s="37">
        <f t="shared" si="21"/>
        <v>0</v>
      </c>
      <c r="AH26" s="38">
        <f t="shared" si="22"/>
        <v>0</v>
      </c>
      <c r="AI26" s="38">
        <f t="shared" si="23"/>
        <v>350</v>
      </c>
    </row>
    <row r="27" spans="1:40" x14ac:dyDescent="0.3">
      <c r="A27" s="16" t="s">
        <v>150</v>
      </c>
      <c r="B27" s="16" t="s">
        <v>151</v>
      </c>
      <c r="C27" s="16" t="s">
        <v>152</v>
      </c>
      <c r="D27" s="16" t="s">
        <v>147</v>
      </c>
      <c r="E27" s="25">
        <f>'Item Master'!E26</f>
        <v>950</v>
      </c>
      <c r="F27" s="24">
        <v>12</v>
      </c>
      <c r="G27" s="20">
        <v>950</v>
      </c>
      <c r="H27" s="19">
        <f t="shared" si="12"/>
        <v>11400</v>
      </c>
      <c r="I27" s="31"/>
      <c r="J27" s="31"/>
      <c r="K27" s="19">
        <f t="shared" si="13"/>
        <v>0</v>
      </c>
      <c r="L27" s="31"/>
      <c r="M27" s="31"/>
      <c r="N27" s="19">
        <f t="shared" si="14"/>
        <v>0</v>
      </c>
      <c r="O27" s="31"/>
      <c r="P27" s="31"/>
      <c r="Q27" s="19">
        <f t="shared" si="15"/>
        <v>0</v>
      </c>
      <c r="R27" s="31"/>
      <c r="S27" s="31"/>
      <c r="T27" s="19">
        <f t="shared" si="16"/>
        <v>0</v>
      </c>
      <c r="U27" s="31"/>
      <c r="V27" s="31"/>
      <c r="W27" s="19">
        <f t="shared" si="17"/>
        <v>0</v>
      </c>
      <c r="X27" s="31"/>
      <c r="Y27" s="31"/>
      <c r="Z27" s="19">
        <f t="shared" si="18"/>
        <v>0</v>
      </c>
      <c r="AA27" s="31"/>
      <c r="AB27" s="31"/>
      <c r="AC27" s="19">
        <f t="shared" si="19"/>
        <v>0</v>
      </c>
      <c r="AD27" s="31"/>
      <c r="AE27" s="31"/>
      <c r="AF27" s="19">
        <f t="shared" si="20"/>
        <v>0</v>
      </c>
      <c r="AG27" s="37">
        <f t="shared" si="21"/>
        <v>12</v>
      </c>
      <c r="AH27" s="38">
        <f t="shared" si="22"/>
        <v>11400</v>
      </c>
      <c r="AI27" s="38">
        <f t="shared" si="23"/>
        <v>950</v>
      </c>
    </row>
    <row r="28" spans="1:40" x14ac:dyDescent="0.3">
      <c r="A28" s="16" t="s">
        <v>153</v>
      </c>
      <c r="B28" s="16" t="s">
        <v>154</v>
      </c>
      <c r="C28" s="16" t="s">
        <v>155</v>
      </c>
      <c r="D28" s="16" t="s">
        <v>102</v>
      </c>
      <c r="E28" s="25">
        <f>'Item Master'!E27</f>
        <v>150</v>
      </c>
      <c r="F28" s="31"/>
      <c r="G28" s="31"/>
      <c r="H28" s="19">
        <f t="shared" si="12"/>
        <v>0</v>
      </c>
      <c r="I28" s="31"/>
      <c r="J28" s="31"/>
      <c r="K28" s="19">
        <f t="shared" si="13"/>
        <v>0</v>
      </c>
      <c r="L28" s="31"/>
      <c r="M28" s="31"/>
      <c r="N28" s="19">
        <f t="shared" si="14"/>
        <v>0</v>
      </c>
      <c r="O28" s="31"/>
      <c r="P28" s="31"/>
      <c r="Q28" s="19">
        <f t="shared" si="15"/>
        <v>0</v>
      </c>
      <c r="R28" s="31"/>
      <c r="S28" s="31"/>
      <c r="T28" s="19">
        <f t="shared" si="16"/>
        <v>0</v>
      </c>
      <c r="U28" s="31"/>
      <c r="V28" s="31"/>
      <c r="W28" s="19">
        <f t="shared" si="17"/>
        <v>0</v>
      </c>
      <c r="X28" s="31"/>
      <c r="Y28" s="31"/>
      <c r="Z28" s="19">
        <f t="shared" si="18"/>
        <v>0</v>
      </c>
      <c r="AA28" s="31"/>
      <c r="AB28" s="31"/>
      <c r="AC28" s="19">
        <f t="shared" si="19"/>
        <v>0</v>
      </c>
      <c r="AD28" s="31"/>
      <c r="AE28" s="31"/>
      <c r="AF28" s="19">
        <f t="shared" si="20"/>
        <v>0</v>
      </c>
      <c r="AG28" s="37">
        <f t="shared" si="21"/>
        <v>0</v>
      </c>
      <c r="AH28" s="38">
        <f t="shared" si="22"/>
        <v>0</v>
      </c>
      <c r="AI28" s="38">
        <f t="shared" si="23"/>
        <v>150</v>
      </c>
    </row>
    <row r="29" spans="1:40" x14ac:dyDescent="0.3">
      <c r="A29" s="16" t="s">
        <v>156</v>
      </c>
      <c r="B29" s="16" t="s">
        <v>157</v>
      </c>
      <c r="C29" s="16" t="s">
        <v>155</v>
      </c>
      <c r="D29" s="16" t="s">
        <v>102</v>
      </c>
      <c r="E29" s="25">
        <f>'Item Master'!E28</f>
        <v>100</v>
      </c>
      <c r="F29" s="24">
        <v>12</v>
      </c>
      <c r="G29" s="20">
        <v>100</v>
      </c>
      <c r="H29" s="19">
        <f t="shared" si="12"/>
        <v>1200</v>
      </c>
      <c r="I29" s="31"/>
      <c r="J29" s="31"/>
      <c r="K29" s="19">
        <f t="shared" si="13"/>
        <v>0</v>
      </c>
      <c r="L29" s="31"/>
      <c r="M29" s="31"/>
      <c r="N29" s="19">
        <f t="shared" si="14"/>
        <v>0</v>
      </c>
      <c r="O29" s="31"/>
      <c r="P29" s="31"/>
      <c r="Q29" s="19">
        <f t="shared" si="15"/>
        <v>0</v>
      </c>
      <c r="R29" s="31"/>
      <c r="S29" s="31"/>
      <c r="T29" s="19">
        <f t="shared" si="16"/>
        <v>0</v>
      </c>
      <c r="U29" s="31"/>
      <c r="V29" s="31"/>
      <c r="W29" s="19">
        <f t="shared" si="17"/>
        <v>0</v>
      </c>
      <c r="X29" s="31"/>
      <c r="Y29" s="31"/>
      <c r="Z29" s="19">
        <f t="shared" si="18"/>
        <v>0</v>
      </c>
      <c r="AA29" s="31"/>
      <c r="AB29" s="31"/>
      <c r="AC29" s="19">
        <f t="shared" si="19"/>
        <v>0</v>
      </c>
      <c r="AD29" s="31"/>
      <c r="AE29" s="31"/>
      <c r="AF29" s="19">
        <f t="shared" si="20"/>
        <v>0</v>
      </c>
      <c r="AG29" s="37">
        <f t="shared" si="21"/>
        <v>12</v>
      </c>
      <c r="AH29" s="38">
        <f t="shared" si="22"/>
        <v>1200</v>
      </c>
      <c r="AI29" s="38">
        <f t="shared" si="23"/>
        <v>100</v>
      </c>
    </row>
    <row r="30" spans="1:40" x14ac:dyDescent="0.3">
      <c r="A30" s="16" t="s">
        <v>158</v>
      </c>
      <c r="B30" s="16" t="s">
        <v>159</v>
      </c>
      <c r="C30" s="16" t="s">
        <v>109</v>
      </c>
      <c r="D30" s="16" t="s">
        <v>102</v>
      </c>
      <c r="E30" s="25">
        <f>'Item Master'!E29</f>
        <v>90</v>
      </c>
      <c r="F30" s="24">
        <v>20</v>
      </c>
      <c r="G30" s="20">
        <v>90</v>
      </c>
      <c r="H30" s="19">
        <f t="shared" si="12"/>
        <v>1800</v>
      </c>
      <c r="I30" s="31"/>
      <c r="J30" s="31"/>
      <c r="K30" s="19">
        <f t="shared" si="13"/>
        <v>0</v>
      </c>
      <c r="L30" s="31"/>
      <c r="M30" s="31"/>
      <c r="N30" s="19">
        <f t="shared" si="14"/>
        <v>0</v>
      </c>
      <c r="O30" s="31"/>
      <c r="P30" s="31"/>
      <c r="Q30" s="19">
        <f t="shared" si="15"/>
        <v>0</v>
      </c>
      <c r="R30" s="31"/>
      <c r="S30" s="31"/>
      <c r="T30" s="19">
        <f t="shared" si="16"/>
        <v>0</v>
      </c>
      <c r="U30" s="31"/>
      <c r="V30" s="31"/>
      <c r="W30" s="19">
        <f t="shared" si="17"/>
        <v>0</v>
      </c>
      <c r="X30" s="31"/>
      <c r="Y30" s="31"/>
      <c r="Z30" s="19">
        <f t="shared" si="18"/>
        <v>0</v>
      </c>
      <c r="AA30" s="31"/>
      <c r="AB30" s="31"/>
      <c r="AC30" s="19">
        <f t="shared" si="19"/>
        <v>0</v>
      </c>
      <c r="AD30" s="31"/>
      <c r="AE30" s="31"/>
      <c r="AF30" s="19">
        <f t="shared" si="20"/>
        <v>0</v>
      </c>
      <c r="AG30" s="37">
        <f t="shared" si="21"/>
        <v>20</v>
      </c>
      <c r="AH30" s="38">
        <f t="shared" si="22"/>
        <v>1800</v>
      </c>
      <c r="AI30" s="38">
        <f t="shared" si="23"/>
        <v>90</v>
      </c>
    </row>
    <row r="31" spans="1:40" x14ac:dyDescent="0.3">
      <c r="A31" s="16" t="s">
        <v>160</v>
      </c>
      <c r="B31" s="16" t="s">
        <v>161</v>
      </c>
      <c r="C31" s="16" t="s">
        <v>162</v>
      </c>
      <c r="D31" s="16" t="s">
        <v>147</v>
      </c>
      <c r="E31" s="25">
        <f>'Item Master'!E30</f>
        <v>45</v>
      </c>
      <c r="F31" s="24">
        <v>35</v>
      </c>
      <c r="G31" s="20">
        <v>45</v>
      </c>
      <c r="H31" s="19">
        <f t="shared" si="12"/>
        <v>1575</v>
      </c>
      <c r="I31" s="31"/>
      <c r="J31" s="31"/>
      <c r="K31" s="19">
        <f t="shared" si="13"/>
        <v>0</v>
      </c>
      <c r="L31" s="31"/>
      <c r="M31" s="31"/>
      <c r="N31" s="19">
        <f t="shared" si="14"/>
        <v>0</v>
      </c>
      <c r="O31" s="31"/>
      <c r="P31" s="31"/>
      <c r="Q31" s="19">
        <f t="shared" si="15"/>
        <v>0</v>
      </c>
      <c r="R31" s="31"/>
      <c r="S31" s="31"/>
      <c r="T31" s="19">
        <f t="shared" si="16"/>
        <v>0</v>
      </c>
      <c r="U31" s="31"/>
      <c r="V31" s="31"/>
      <c r="W31" s="19">
        <f t="shared" si="17"/>
        <v>0</v>
      </c>
      <c r="X31" s="31"/>
      <c r="Y31" s="31"/>
      <c r="Z31" s="19">
        <f t="shared" si="18"/>
        <v>0</v>
      </c>
      <c r="AA31" s="31"/>
      <c r="AB31" s="31"/>
      <c r="AC31" s="19">
        <f t="shared" si="19"/>
        <v>0</v>
      </c>
      <c r="AD31" s="31"/>
      <c r="AE31" s="31"/>
      <c r="AF31" s="19">
        <f t="shared" si="20"/>
        <v>0</v>
      </c>
      <c r="AG31" s="37">
        <f t="shared" si="21"/>
        <v>35</v>
      </c>
      <c r="AH31" s="38">
        <f t="shared" si="22"/>
        <v>1575</v>
      </c>
      <c r="AI31" s="38">
        <f t="shared" si="23"/>
        <v>45</v>
      </c>
    </row>
    <row r="32" spans="1:40" x14ac:dyDescent="0.3">
      <c r="A32" s="16" t="s">
        <v>163</v>
      </c>
      <c r="B32" s="16" t="s">
        <v>164</v>
      </c>
      <c r="C32" s="16" t="s">
        <v>165</v>
      </c>
      <c r="D32" s="16" t="s">
        <v>166</v>
      </c>
      <c r="E32" s="25">
        <f>'Item Master'!E31</f>
        <v>35</v>
      </c>
      <c r="F32" s="24">
        <v>220</v>
      </c>
      <c r="G32" s="20">
        <v>35</v>
      </c>
      <c r="H32" s="19">
        <f t="shared" si="12"/>
        <v>7700</v>
      </c>
      <c r="I32" s="31"/>
      <c r="J32" s="31"/>
      <c r="K32" s="19">
        <f t="shared" si="13"/>
        <v>0</v>
      </c>
      <c r="L32" s="31"/>
      <c r="M32" s="31"/>
      <c r="N32" s="19">
        <f t="shared" si="14"/>
        <v>0</v>
      </c>
      <c r="O32" s="31"/>
      <c r="P32" s="31"/>
      <c r="Q32" s="19">
        <f t="shared" si="15"/>
        <v>0</v>
      </c>
      <c r="R32" s="31"/>
      <c r="S32" s="31"/>
      <c r="T32" s="19">
        <f t="shared" si="16"/>
        <v>0</v>
      </c>
      <c r="U32" s="31"/>
      <c r="V32" s="31"/>
      <c r="W32" s="19">
        <f t="shared" si="17"/>
        <v>0</v>
      </c>
      <c r="X32" s="31"/>
      <c r="Y32" s="31"/>
      <c r="Z32" s="19">
        <f t="shared" si="18"/>
        <v>0</v>
      </c>
      <c r="AA32" s="31"/>
      <c r="AB32" s="31"/>
      <c r="AC32" s="19">
        <f t="shared" si="19"/>
        <v>0</v>
      </c>
      <c r="AD32" s="31"/>
      <c r="AE32" s="31"/>
      <c r="AF32" s="19">
        <f t="shared" si="20"/>
        <v>0</v>
      </c>
      <c r="AG32" s="37">
        <f t="shared" si="21"/>
        <v>220</v>
      </c>
      <c r="AH32" s="38">
        <f t="shared" si="22"/>
        <v>7700</v>
      </c>
      <c r="AI32" s="38">
        <f t="shared" si="23"/>
        <v>35</v>
      </c>
    </row>
    <row r="33" spans="1:40" x14ac:dyDescent="0.3">
      <c r="A33" s="67" t="s">
        <v>167</v>
      </c>
      <c r="B33" s="67"/>
      <c r="C33" s="67"/>
      <c r="D33" s="67"/>
      <c r="E33" s="67"/>
      <c r="F33" s="67"/>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row>
    <row r="34" spans="1:40" x14ac:dyDescent="0.3">
      <c r="A34" s="16" t="s">
        <v>168</v>
      </c>
      <c r="B34" s="16" t="s">
        <v>169</v>
      </c>
      <c r="C34" s="16" t="s">
        <v>170</v>
      </c>
      <c r="D34" s="16" t="s">
        <v>117</v>
      </c>
      <c r="E34" s="25">
        <f>'Item Master'!E33</f>
        <v>8</v>
      </c>
      <c r="F34" s="24">
        <v>400</v>
      </c>
      <c r="G34" s="20">
        <v>8</v>
      </c>
      <c r="H34" s="19">
        <f t="shared" ref="H34:H42" si="24">IFERROR(F34*G34,0)</f>
        <v>3200</v>
      </c>
      <c r="I34" s="31"/>
      <c r="J34" s="31"/>
      <c r="K34" s="19">
        <f t="shared" ref="K34:K42" si="25">IFERROR(I34*J34,0)</f>
        <v>0</v>
      </c>
      <c r="L34" s="31"/>
      <c r="M34" s="31"/>
      <c r="N34" s="19">
        <f t="shared" ref="N34:N42" si="26">IFERROR(L34*M34,0)</f>
        <v>0</v>
      </c>
      <c r="O34" s="31"/>
      <c r="P34" s="31"/>
      <c r="Q34" s="19">
        <f t="shared" ref="Q34:Q42" si="27">IFERROR(O34*P34,0)</f>
        <v>0</v>
      </c>
      <c r="R34" s="31"/>
      <c r="S34" s="31"/>
      <c r="T34" s="19">
        <f t="shared" ref="T34:T42" si="28">IFERROR(R34*S34,0)</f>
        <v>0</v>
      </c>
      <c r="U34" s="31"/>
      <c r="V34" s="31"/>
      <c r="W34" s="19">
        <f t="shared" ref="W34:W42" si="29">IFERROR(U34*V34,0)</f>
        <v>0</v>
      </c>
      <c r="X34" s="31"/>
      <c r="Y34" s="31"/>
      <c r="Z34" s="19">
        <f t="shared" ref="Z34:Z42" si="30">IFERROR(X34*Y34,0)</f>
        <v>0</v>
      </c>
      <c r="AA34" s="31"/>
      <c r="AB34" s="31"/>
      <c r="AC34" s="19">
        <f t="shared" ref="AC34:AC42" si="31">IFERROR(AA34*AB34,0)</f>
        <v>0</v>
      </c>
      <c r="AD34" s="31"/>
      <c r="AE34" s="31"/>
      <c r="AF34" s="19">
        <f t="shared" ref="AF34:AF42" si="32">IFERROR(AD34*AE34,0)</f>
        <v>0</v>
      </c>
      <c r="AG34" s="37">
        <f t="shared" ref="AG34:AG42" si="33">F34+I34+L34+O34+R34+U34+X34+AA34+AD34</f>
        <v>400</v>
      </c>
      <c r="AH34" s="38">
        <f t="shared" ref="AH34:AH42" si="34">H34+K34+N34+Q34+T34+W34+Z34+AC34+AF34</f>
        <v>3200</v>
      </c>
      <c r="AI34" s="38">
        <f t="shared" ref="AI34:AI42" si="35">IFERROR(AH34/AG34,E34)</f>
        <v>8</v>
      </c>
    </row>
    <row r="35" spans="1:40" x14ac:dyDescent="0.3">
      <c r="A35" s="16" t="s">
        <v>171</v>
      </c>
      <c r="B35" s="16" t="s">
        <v>172</v>
      </c>
      <c r="C35" s="16" t="s">
        <v>170</v>
      </c>
      <c r="D35" s="16" t="s">
        <v>117</v>
      </c>
      <c r="E35" s="25">
        <f>'Item Master'!E34</f>
        <v>15</v>
      </c>
      <c r="F35" s="24">
        <v>300</v>
      </c>
      <c r="G35" s="20">
        <v>15</v>
      </c>
      <c r="H35" s="19">
        <f t="shared" si="24"/>
        <v>4500</v>
      </c>
      <c r="I35" s="31"/>
      <c r="J35" s="31"/>
      <c r="K35" s="19">
        <f t="shared" si="25"/>
        <v>0</v>
      </c>
      <c r="L35" s="31"/>
      <c r="M35" s="31"/>
      <c r="N35" s="19">
        <f t="shared" si="26"/>
        <v>0</v>
      </c>
      <c r="O35" s="31"/>
      <c r="P35" s="31"/>
      <c r="Q35" s="19">
        <f t="shared" si="27"/>
        <v>0</v>
      </c>
      <c r="R35" s="31"/>
      <c r="S35" s="31"/>
      <c r="T35" s="19">
        <f t="shared" si="28"/>
        <v>0</v>
      </c>
      <c r="U35" s="31"/>
      <c r="V35" s="31"/>
      <c r="W35" s="19">
        <f t="shared" si="29"/>
        <v>0</v>
      </c>
      <c r="X35" s="31"/>
      <c r="Y35" s="31"/>
      <c r="Z35" s="19">
        <f t="shared" si="30"/>
        <v>0</v>
      </c>
      <c r="AA35" s="31"/>
      <c r="AB35" s="31"/>
      <c r="AC35" s="19">
        <f t="shared" si="31"/>
        <v>0</v>
      </c>
      <c r="AD35" s="31"/>
      <c r="AE35" s="31"/>
      <c r="AF35" s="19">
        <f t="shared" si="32"/>
        <v>0</v>
      </c>
      <c r="AG35" s="37">
        <f t="shared" si="33"/>
        <v>300</v>
      </c>
      <c r="AH35" s="38">
        <f t="shared" si="34"/>
        <v>4500</v>
      </c>
      <c r="AI35" s="38">
        <f t="shared" si="35"/>
        <v>15</v>
      </c>
    </row>
    <row r="36" spans="1:40" x14ac:dyDescent="0.3">
      <c r="A36" s="16" t="s">
        <v>173</v>
      </c>
      <c r="B36" s="16" t="s">
        <v>174</v>
      </c>
      <c r="C36" s="16" t="s">
        <v>175</v>
      </c>
      <c r="D36" s="16" t="s">
        <v>117</v>
      </c>
      <c r="E36" s="25">
        <f>'Item Master'!E35</f>
        <v>1</v>
      </c>
      <c r="F36" s="31"/>
      <c r="G36" s="31"/>
      <c r="H36" s="19">
        <f t="shared" si="24"/>
        <v>0</v>
      </c>
      <c r="I36" s="31"/>
      <c r="J36" s="31"/>
      <c r="K36" s="19">
        <f t="shared" si="25"/>
        <v>0</v>
      </c>
      <c r="L36" s="31"/>
      <c r="M36" s="31"/>
      <c r="N36" s="19">
        <f t="shared" si="26"/>
        <v>0</v>
      </c>
      <c r="O36" s="31"/>
      <c r="P36" s="31"/>
      <c r="Q36" s="19">
        <f t="shared" si="27"/>
        <v>0</v>
      </c>
      <c r="R36" s="31"/>
      <c r="S36" s="31"/>
      <c r="T36" s="19">
        <f t="shared" si="28"/>
        <v>0</v>
      </c>
      <c r="U36" s="31"/>
      <c r="V36" s="31"/>
      <c r="W36" s="19">
        <f t="shared" si="29"/>
        <v>0</v>
      </c>
      <c r="X36" s="31"/>
      <c r="Y36" s="31"/>
      <c r="Z36" s="19">
        <f t="shared" si="30"/>
        <v>0</v>
      </c>
      <c r="AA36" s="31"/>
      <c r="AB36" s="31"/>
      <c r="AC36" s="19">
        <f t="shared" si="31"/>
        <v>0</v>
      </c>
      <c r="AD36" s="31"/>
      <c r="AE36" s="31"/>
      <c r="AF36" s="19">
        <f t="shared" si="32"/>
        <v>0</v>
      </c>
      <c r="AG36" s="37">
        <f t="shared" si="33"/>
        <v>0</v>
      </c>
      <c r="AH36" s="38">
        <f t="shared" si="34"/>
        <v>0</v>
      </c>
      <c r="AI36" s="38">
        <f t="shared" si="35"/>
        <v>1</v>
      </c>
    </row>
    <row r="37" spans="1:40" x14ac:dyDescent="0.3">
      <c r="A37" s="16" t="s">
        <v>176</v>
      </c>
      <c r="B37" s="16" t="s">
        <v>177</v>
      </c>
      <c r="C37" s="16" t="s">
        <v>175</v>
      </c>
      <c r="D37" s="16" t="s">
        <v>117</v>
      </c>
      <c r="E37" s="25">
        <f>'Item Master'!E36</f>
        <v>1</v>
      </c>
      <c r="F37" s="31"/>
      <c r="G37" s="31"/>
      <c r="H37" s="19">
        <f t="shared" si="24"/>
        <v>0</v>
      </c>
      <c r="I37" s="31"/>
      <c r="J37" s="31"/>
      <c r="K37" s="19">
        <f t="shared" si="25"/>
        <v>0</v>
      </c>
      <c r="L37" s="31"/>
      <c r="M37" s="31"/>
      <c r="N37" s="19">
        <f t="shared" si="26"/>
        <v>0</v>
      </c>
      <c r="O37" s="31"/>
      <c r="P37" s="31"/>
      <c r="Q37" s="19">
        <f t="shared" si="27"/>
        <v>0</v>
      </c>
      <c r="R37" s="31"/>
      <c r="S37" s="31"/>
      <c r="T37" s="19">
        <f t="shared" si="28"/>
        <v>0</v>
      </c>
      <c r="U37" s="31"/>
      <c r="V37" s="31"/>
      <c r="W37" s="19">
        <f t="shared" si="29"/>
        <v>0</v>
      </c>
      <c r="X37" s="31"/>
      <c r="Y37" s="31"/>
      <c r="Z37" s="19">
        <f t="shared" si="30"/>
        <v>0</v>
      </c>
      <c r="AA37" s="31"/>
      <c r="AB37" s="31"/>
      <c r="AC37" s="19">
        <f t="shared" si="31"/>
        <v>0</v>
      </c>
      <c r="AD37" s="31"/>
      <c r="AE37" s="31"/>
      <c r="AF37" s="19">
        <f t="shared" si="32"/>
        <v>0</v>
      </c>
      <c r="AG37" s="37">
        <f t="shared" si="33"/>
        <v>0</v>
      </c>
      <c r="AH37" s="38">
        <f t="shared" si="34"/>
        <v>0</v>
      </c>
      <c r="AI37" s="38">
        <f t="shared" si="35"/>
        <v>1</v>
      </c>
    </row>
    <row r="38" spans="1:40" x14ac:dyDescent="0.3">
      <c r="A38" s="16" t="s">
        <v>178</v>
      </c>
      <c r="B38" s="16" t="s">
        <v>179</v>
      </c>
      <c r="C38" s="16" t="s">
        <v>180</v>
      </c>
      <c r="D38" s="16" t="s">
        <v>102</v>
      </c>
      <c r="E38" s="25">
        <f>'Item Master'!E37</f>
        <v>60</v>
      </c>
      <c r="F38" s="24">
        <v>45</v>
      </c>
      <c r="G38" s="20">
        <v>60</v>
      </c>
      <c r="H38" s="19">
        <f t="shared" si="24"/>
        <v>2700</v>
      </c>
      <c r="I38" s="31"/>
      <c r="J38" s="31"/>
      <c r="K38" s="19">
        <f t="shared" si="25"/>
        <v>0</v>
      </c>
      <c r="L38" s="31"/>
      <c r="M38" s="31"/>
      <c r="N38" s="19">
        <f t="shared" si="26"/>
        <v>0</v>
      </c>
      <c r="O38" s="31"/>
      <c r="P38" s="31"/>
      <c r="Q38" s="19">
        <f t="shared" si="27"/>
        <v>0</v>
      </c>
      <c r="R38" s="31"/>
      <c r="S38" s="31"/>
      <c r="T38" s="19">
        <f t="shared" si="28"/>
        <v>0</v>
      </c>
      <c r="U38" s="31"/>
      <c r="V38" s="31"/>
      <c r="W38" s="19">
        <f t="shared" si="29"/>
        <v>0</v>
      </c>
      <c r="X38" s="31"/>
      <c r="Y38" s="31"/>
      <c r="Z38" s="19">
        <f t="shared" si="30"/>
        <v>0</v>
      </c>
      <c r="AA38" s="31"/>
      <c r="AB38" s="31"/>
      <c r="AC38" s="19">
        <f t="shared" si="31"/>
        <v>0</v>
      </c>
      <c r="AD38" s="31"/>
      <c r="AE38" s="31"/>
      <c r="AF38" s="19">
        <f t="shared" si="32"/>
        <v>0</v>
      </c>
      <c r="AG38" s="37">
        <f t="shared" si="33"/>
        <v>45</v>
      </c>
      <c r="AH38" s="38">
        <f t="shared" si="34"/>
        <v>2700</v>
      </c>
      <c r="AI38" s="38">
        <f t="shared" si="35"/>
        <v>60</v>
      </c>
    </row>
    <row r="39" spans="1:40" x14ac:dyDescent="0.3">
      <c r="A39" s="16" t="s">
        <v>181</v>
      </c>
      <c r="B39" s="16" t="s">
        <v>182</v>
      </c>
      <c r="C39" s="16" t="s">
        <v>180</v>
      </c>
      <c r="D39" s="16" t="s">
        <v>102</v>
      </c>
      <c r="E39" s="25">
        <f>'Item Master'!E38</f>
        <v>25</v>
      </c>
      <c r="F39" s="31"/>
      <c r="G39" s="31"/>
      <c r="H39" s="19">
        <f t="shared" si="24"/>
        <v>0</v>
      </c>
      <c r="I39" s="31"/>
      <c r="J39" s="31"/>
      <c r="K39" s="19">
        <f t="shared" si="25"/>
        <v>0</v>
      </c>
      <c r="L39" s="31"/>
      <c r="M39" s="31"/>
      <c r="N39" s="19">
        <f t="shared" si="26"/>
        <v>0</v>
      </c>
      <c r="O39" s="31"/>
      <c r="P39" s="31"/>
      <c r="Q39" s="19">
        <f t="shared" si="27"/>
        <v>0</v>
      </c>
      <c r="R39" s="31"/>
      <c r="S39" s="31"/>
      <c r="T39" s="19">
        <f t="shared" si="28"/>
        <v>0</v>
      </c>
      <c r="U39" s="31"/>
      <c r="V39" s="31"/>
      <c r="W39" s="19">
        <f t="shared" si="29"/>
        <v>0</v>
      </c>
      <c r="X39" s="31"/>
      <c r="Y39" s="31"/>
      <c r="Z39" s="19">
        <f t="shared" si="30"/>
        <v>0</v>
      </c>
      <c r="AA39" s="31"/>
      <c r="AB39" s="31"/>
      <c r="AC39" s="19">
        <f t="shared" si="31"/>
        <v>0</v>
      </c>
      <c r="AD39" s="31"/>
      <c r="AE39" s="31"/>
      <c r="AF39" s="19">
        <f t="shared" si="32"/>
        <v>0</v>
      </c>
      <c r="AG39" s="37">
        <f t="shared" si="33"/>
        <v>0</v>
      </c>
      <c r="AH39" s="38">
        <f t="shared" si="34"/>
        <v>0</v>
      </c>
      <c r="AI39" s="38">
        <f t="shared" si="35"/>
        <v>25</v>
      </c>
    </row>
    <row r="40" spans="1:40" x14ac:dyDescent="0.3">
      <c r="A40" s="16" t="s">
        <v>183</v>
      </c>
      <c r="B40" s="16" t="s">
        <v>184</v>
      </c>
      <c r="C40" s="16" t="s">
        <v>180</v>
      </c>
      <c r="D40" s="16" t="s">
        <v>147</v>
      </c>
      <c r="E40" s="25">
        <f>'Item Master'!E39</f>
        <v>150</v>
      </c>
      <c r="F40" s="24">
        <v>45</v>
      </c>
      <c r="G40" s="20">
        <v>150</v>
      </c>
      <c r="H40" s="19">
        <f t="shared" si="24"/>
        <v>6750</v>
      </c>
      <c r="I40" s="31"/>
      <c r="J40" s="31"/>
      <c r="K40" s="19">
        <f t="shared" si="25"/>
        <v>0</v>
      </c>
      <c r="L40" s="31"/>
      <c r="M40" s="31"/>
      <c r="N40" s="19">
        <f t="shared" si="26"/>
        <v>0</v>
      </c>
      <c r="O40" s="31"/>
      <c r="P40" s="31"/>
      <c r="Q40" s="19">
        <f t="shared" si="27"/>
        <v>0</v>
      </c>
      <c r="R40" s="31"/>
      <c r="S40" s="31"/>
      <c r="T40" s="19">
        <f t="shared" si="28"/>
        <v>0</v>
      </c>
      <c r="U40" s="31"/>
      <c r="V40" s="31"/>
      <c r="W40" s="19">
        <f t="shared" si="29"/>
        <v>0</v>
      </c>
      <c r="X40" s="31"/>
      <c r="Y40" s="31"/>
      <c r="Z40" s="19">
        <f t="shared" si="30"/>
        <v>0</v>
      </c>
      <c r="AA40" s="31"/>
      <c r="AB40" s="31"/>
      <c r="AC40" s="19">
        <f t="shared" si="31"/>
        <v>0</v>
      </c>
      <c r="AD40" s="31"/>
      <c r="AE40" s="31"/>
      <c r="AF40" s="19">
        <f t="shared" si="32"/>
        <v>0</v>
      </c>
      <c r="AG40" s="37">
        <f t="shared" si="33"/>
        <v>45</v>
      </c>
      <c r="AH40" s="38">
        <f t="shared" si="34"/>
        <v>6750</v>
      </c>
      <c r="AI40" s="38">
        <f t="shared" si="35"/>
        <v>150</v>
      </c>
    </row>
    <row r="41" spans="1:40" x14ac:dyDescent="0.3">
      <c r="A41" s="16" t="s">
        <v>185</v>
      </c>
      <c r="B41" s="16" t="s">
        <v>186</v>
      </c>
      <c r="C41" s="16" t="s">
        <v>180</v>
      </c>
      <c r="D41" s="16" t="s">
        <v>102</v>
      </c>
      <c r="E41" s="25">
        <f>'Item Master'!E40</f>
        <v>400</v>
      </c>
      <c r="F41" s="24">
        <v>12</v>
      </c>
      <c r="G41" s="20">
        <v>400</v>
      </c>
      <c r="H41" s="19">
        <f t="shared" si="24"/>
        <v>4800</v>
      </c>
      <c r="I41" s="31"/>
      <c r="J41" s="31"/>
      <c r="K41" s="19">
        <f t="shared" si="25"/>
        <v>0</v>
      </c>
      <c r="L41" s="31"/>
      <c r="M41" s="31"/>
      <c r="N41" s="19">
        <f t="shared" si="26"/>
        <v>0</v>
      </c>
      <c r="O41" s="31"/>
      <c r="P41" s="31"/>
      <c r="Q41" s="19">
        <f t="shared" si="27"/>
        <v>0</v>
      </c>
      <c r="R41" s="31"/>
      <c r="S41" s="31"/>
      <c r="T41" s="19">
        <f t="shared" si="28"/>
        <v>0</v>
      </c>
      <c r="U41" s="31"/>
      <c r="V41" s="31"/>
      <c r="W41" s="19">
        <f t="shared" si="29"/>
        <v>0</v>
      </c>
      <c r="X41" s="31"/>
      <c r="Y41" s="31"/>
      <c r="Z41" s="19">
        <f t="shared" si="30"/>
        <v>0</v>
      </c>
      <c r="AA41" s="31"/>
      <c r="AB41" s="31"/>
      <c r="AC41" s="19">
        <f t="shared" si="31"/>
        <v>0</v>
      </c>
      <c r="AD41" s="31"/>
      <c r="AE41" s="31"/>
      <c r="AF41" s="19">
        <f t="shared" si="32"/>
        <v>0</v>
      </c>
      <c r="AG41" s="37">
        <f t="shared" si="33"/>
        <v>12</v>
      </c>
      <c r="AH41" s="38">
        <f t="shared" si="34"/>
        <v>4800</v>
      </c>
      <c r="AI41" s="38">
        <f t="shared" si="35"/>
        <v>400</v>
      </c>
    </row>
    <row r="42" spans="1:40" x14ac:dyDescent="0.3">
      <c r="A42" s="16" t="s">
        <v>187</v>
      </c>
      <c r="B42" s="16" t="s">
        <v>188</v>
      </c>
      <c r="C42" s="16" t="s">
        <v>180</v>
      </c>
      <c r="D42" s="16" t="s">
        <v>102</v>
      </c>
      <c r="E42" s="25">
        <f>'Item Master'!E41</f>
        <v>500</v>
      </c>
      <c r="F42" s="31"/>
      <c r="G42" s="31"/>
      <c r="H42" s="19">
        <f t="shared" si="24"/>
        <v>0</v>
      </c>
      <c r="I42" s="31"/>
      <c r="J42" s="31"/>
      <c r="K42" s="19">
        <f t="shared" si="25"/>
        <v>0</v>
      </c>
      <c r="L42" s="31"/>
      <c r="M42" s="31"/>
      <c r="N42" s="19">
        <f t="shared" si="26"/>
        <v>0</v>
      </c>
      <c r="O42" s="31"/>
      <c r="P42" s="31"/>
      <c r="Q42" s="19">
        <f t="shared" si="27"/>
        <v>0</v>
      </c>
      <c r="R42" s="31"/>
      <c r="S42" s="31"/>
      <c r="T42" s="19">
        <f t="shared" si="28"/>
        <v>0</v>
      </c>
      <c r="U42" s="31"/>
      <c r="V42" s="31"/>
      <c r="W42" s="19">
        <f t="shared" si="29"/>
        <v>0</v>
      </c>
      <c r="X42" s="31"/>
      <c r="Y42" s="31"/>
      <c r="Z42" s="19">
        <f t="shared" si="30"/>
        <v>0</v>
      </c>
      <c r="AA42" s="31"/>
      <c r="AB42" s="31"/>
      <c r="AC42" s="19">
        <f t="shared" si="31"/>
        <v>0</v>
      </c>
      <c r="AD42" s="31"/>
      <c r="AE42" s="31"/>
      <c r="AF42" s="19">
        <f t="shared" si="32"/>
        <v>0</v>
      </c>
      <c r="AG42" s="37">
        <f t="shared" si="33"/>
        <v>0</v>
      </c>
      <c r="AH42" s="38">
        <f t="shared" si="34"/>
        <v>0</v>
      </c>
      <c r="AI42" s="38">
        <f t="shared" si="35"/>
        <v>500</v>
      </c>
    </row>
  </sheetData>
  <mergeCells count="14">
    <mergeCell ref="AD3:AF3"/>
    <mergeCell ref="A5:AN5"/>
    <mergeCell ref="A21:AN21"/>
    <mergeCell ref="A33:AN33"/>
    <mergeCell ref="O3:Q3"/>
    <mergeCell ref="R3:T3"/>
    <mergeCell ref="U3:W3"/>
    <mergeCell ref="X3:Z3"/>
    <mergeCell ref="AA3:AC3"/>
    <mergeCell ref="A1:J1"/>
    <mergeCell ref="A2:J2"/>
    <mergeCell ref="F3:H3"/>
    <mergeCell ref="I3:K3"/>
    <mergeCell ref="L3:N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971C"/>
  </sheetPr>
  <dimension ref="A1:AL42"/>
  <sheetViews>
    <sheetView showGridLines="0" zoomScaleNormal="100" workbookViewId="0">
      <pane xSplit="7" ySplit="4" topLeftCell="H5" activePane="bottomRight" state="frozen"/>
      <selection pane="topRight" activeCell="H1" sqref="H1"/>
      <selection pane="bottomLeft" activeCell="A5" sqref="A5"/>
      <selection pane="bottomRight" sqref="A1:J1"/>
    </sheetView>
  </sheetViews>
  <sheetFormatPr defaultColWidth="8.6640625" defaultRowHeight="14.4" x14ac:dyDescent="0.3"/>
  <cols>
    <col min="1" max="1" width="11" customWidth="1"/>
    <col min="2" max="2" width="26" customWidth="1"/>
    <col min="3" max="3" width="18" customWidth="1"/>
    <col min="4" max="4" width="8" customWidth="1"/>
    <col min="5" max="6" width="11" customWidth="1"/>
    <col min="7" max="7" width="12" customWidth="1"/>
    <col min="8" max="9" width="9" customWidth="1"/>
    <col min="10" max="10" width="11" customWidth="1"/>
    <col min="11" max="12" width="9" customWidth="1"/>
    <col min="13" max="13" width="11" customWidth="1"/>
    <col min="14" max="15" width="9" customWidth="1"/>
    <col min="16" max="16" width="11" customWidth="1"/>
    <col min="17" max="18" width="9" customWidth="1"/>
    <col min="19" max="19" width="11" customWidth="1"/>
    <col min="20" max="21" width="9" customWidth="1"/>
    <col min="22" max="22" width="11" customWidth="1"/>
    <col min="23" max="24" width="9" customWidth="1"/>
    <col min="25" max="25" width="11" customWidth="1"/>
    <col min="26" max="27" width="9" customWidth="1"/>
    <col min="28" max="28" width="11" customWidth="1"/>
    <col min="29" max="30" width="9" customWidth="1"/>
    <col min="31" max="31" width="11" customWidth="1"/>
    <col min="32" max="33" width="9" customWidth="1"/>
    <col min="34" max="34" width="11" customWidth="1"/>
    <col min="35" max="38" width="13" customWidth="1"/>
  </cols>
  <sheetData>
    <row r="1" spans="1:38" ht="25.5" customHeight="1" x14ac:dyDescent="0.3">
      <c r="A1" s="14" t="s">
        <v>442</v>
      </c>
      <c r="B1" s="14"/>
      <c r="C1" s="14"/>
      <c r="D1" s="14"/>
      <c r="E1" s="14"/>
      <c r="F1" s="14"/>
      <c r="G1" s="14"/>
      <c r="H1" s="14"/>
      <c r="I1" s="14"/>
      <c r="J1" s="14"/>
    </row>
    <row r="2" spans="1:38" x14ac:dyDescent="0.3">
      <c r="A2" s="13" t="s">
        <v>443</v>
      </c>
      <c r="B2" s="13"/>
      <c r="C2" s="13"/>
      <c r="D2" s="13"/>
      <c r="E2" s="13"/>
      <c r="F2" s="13"/>
      <c r="G2" s="13"/>
      <c r="H2" s="13"/>
      <c r="I2" s="13"/>
      <c r="J2" s="13"/>
    </row>
    <row r="3" spans="1:38" x14ac:dyDescent="0.3">
      <c r="H3" s="65">
        <v>46206</v>
      </c>
      <c r="I3" s="65"/>
      <c r="J3" s="65"/>
      <c r="K3" s="65">
        <v>46218</v>
      </c>
      <c r="L3" s="65"/>
      <c r="M3" s="65"/>
      <c r="N3" s="66" t="s">
        <v>410</v>
      </c>
      <c r="O3" s="66"/>
      <c r="P3" s="66"/>
      <c r="Q3" s="66" t="s">
        <v>410</v>
      </c>
      <c r="R3" s="66"/>
      <c r="S3" s="66"/>
      <c r="T3" s="66" t="s">
        <v>410</v>
      </c>
      <c r="U3" s="66"/>
      <c r="V3" s="66"/>
      <c r="W3" s="66" t="s">
        <v>410</v>
      </c>
      <c r="X3" s="66"/>
      <c r="Y3" s="66"/>
      <c r="Z3" s="66" t="s">
        <v>410</v>
      </c>
      <c r="AA3" s="66"/>
      <c r="AB3" s="66"/>
      <c r="AC3" s="66" t="s">
        <v>410</v>
      </c>
      <c r="AD3" s="66"/>
      <c r="AE3" s="66"/>
      <c r="AF3" s="66" t="s">
        <v>410</v>
      </c>
      <c r="AG3" s="66"/>
      <c r="AH3" s="66"/>
    </row>
    <row r="4" spans="1:38" ht="30" customHeight="1" x14ac:dyDescent="0.3">
      <c r="A4" s="15" t="s">
        <v>93</v>
      </c>
      <c r="B4" s="15" t="s">
        <v>94</v>
      </c>
      <c r="C4" s="15" t="s">
        <v>95</v>
      </c>
      <c r="D4" s="15" t="s">
        <v>96</v>
      </c>
      <c r="E4" s="15" t="s">
        <v>444</v>
      </c>
      <c r="F4" s="15" t="s">
        <v>445</v>
      </c>
      <c r="G4" s="15" t="s">
        <v>446</v>
      </c>
      <c r="H4" s="15" t="s">
        <v>447</v>
      </c>
      <c r="I4" s="15" t="s">
        <v>448</v>
      </c>
      <c r="J4" s="15" t="s">
        <v>449</v>
      </c>
      <c r="K4" s="15" t="s">
        <v>450</v>
      </c>
      <c r="L4" s="15" t="s">
        <v>451</v>
      </c>
      <c r="M4" s="15" t="s">
        <v>452</v>
      </c>
      <c r="N4" s="15" t="s">
        <v>453</v>
      </c>
      <c r="O4" s="15" t="s">
        <v>454</v>
      </c>
      <c r="P4" s="15" t="s">
        <v>455</v>
      </c>
      <c r="Q4" s="15" t="s">
        <v>456</v>
      </c>
      <c r="R4" s="15" t="s">
        <v>457</v>
      </c>
      <c r="S4" s="15" t="s">
        <v>458</v>
      </c>
      <c r="T4" s="15" t="s">
        <v>459</v>
      </c>
      <c r="U4" s="15" t="s">
        <v>460</v>
      </c>
      <c r="V4" s="15" t="s">
        <v>461</v>
      </c>
      <c r="W4" s="15" t="s">
        <v>462</v>
      </c>
      <c r="X4" s="15" t="s">
        <v>463</v>
      </c>
      <c r="Y4" s="15" t="s">
        <v>464</v>
      </c>
      <c r="Z4" s="15" t="s">
        <v>465</v>
      </c>
      <c r="AA4" s="15" t="s">
        <v>466</v>
      </c>
      <c r="AB4" s="15" t="s">
        <v>467</v>
      </c>
      <c r="AC4" s="15" t="s">
        <v>468</v>
      </c>
      <c r="AD4" s="15" t="s">
        <v>469</v>
      </c>
      <c r="AE4" s="15" t="s">
        <v>470</v>
      </c>
      <c r="AF4" s="15" t="s">
        <v>471</v>
      </c>
      <c r="AG4" s="15" t="s">
        <v>472</v>
      </c>
      <c r="AH4" s="15" t="s">
        <v>473</v>
      </c>
      <c r="AI4" s="15" t="s">
        <v>474</v>
      </c>
      <c r="AJ4" s="15" t="s">
        <v>31</v>
      </c>
      <c r="AK4" s="15" t="s">
        <v>475</v>
      </c>
      <c r="AL4" s="15" t="s">
        <v>476</v>
      </c>
    </row>
    <row r="5" spans="1:38" x14ac:dyDescent="0.3">
      <c r="A5" s="63" t="s">
        <v>98</v>
      </c>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row>
    <row r="6" spans="1:38" x14ac:dyDescent="0.3">
      <c r="A6" s="16" t="s">
        <v>99</v>
      </c>
      <c r="B6" s="16" t="s">
        <v>100</v>
      </c>
      <c r="C6" s="16" t="s">
        <v>101</v>
      </c>
      <c r="D6" s="16" t="s">
        <v>102</v>
      </c>
      <c r="E6" s="24">
        <v>0</v>
      </c>
      <c r="F6" s="25">
        <f>'Item Master'!E5</f>
        <v>550</v>
      </c>
      <c r="G6" s="19">
        <f t="shared" ref="G6:G20" si="0">E6*F6</f>
        <v>0</v>
      </c>
      <c r="H6" s="24">
        <v>45</v>
      </c>
      <c r="I6" s="20">
        <v>555</v>
      </c>
      <c r="J6" s="19">
        <f t="shared" ref="J6:J20" si="1">IFERROR(H6*I6,0)</f>
        <v>24975</v>
      </c>
      <c r="K6" s="24">
        <v>40</v>
      </c>
      <c r="L6" s="20">
        <v>560</v>
      </c>
      <c r="M6" s="19">
        <f t="shared" ref="M6:M20" si="2">IFERROR(K6*L6,0)</f>
        <v>22400</v>
      </c>
      <c r="N6" s="31"/>
      <c r="O6" s="31"/>
      <c r="P6" s="19">
        <f t="shared" ref="P6:P20" si="3">IFERROR(N6*O6,0)</f>
        <v>0</v>
      </c>
      <c r="Q6" s="31"/>
      <c r="R6" s="31"/>
      <c r="S6" s="19">
        <f t="shared" ref="S6:S20" si="4">IFERROR(Q6*R6,0)</f>
        <v>0</v>
      </c>
      <c r="T6" s="31"/>
      <c r="U6" s="31"/>
      <c r="V6" s="19">
        <f t="shared" ref="V6:V20" si="5">IFERROR(T6*U6,0)</f>
        <v>0</v>
      </c>
      <c r="W6" s="31"/>
      <c r="X6" s="31"/>
      <c r="Y6" s="19">
        <f t="shared" ref="Y6:Y20" si="6">IFERROR(W6*X6,0)</f>
        <v>0</v>
      </c>
      <c r="Z6" s="31"/>
      <c r="AA6" s="31"/>
      <c r="AB6" s="19">
        <f t="shared" ref="AB6:AB20" si="7">IFERROR(Z6*AA6,0)</f>
        <v>0</v>
      </c>
      <c r="AC6" s="31"/>
      <c r="AD6" s="31"/>
      <c r="AE6" s="19">
        <f t="shared" ref="AE6:AE20" si="8">IFERROR(AC6*AD6,0)</f>
        <v>0</v>
      </c>
      <c r="AF6" s="31"/>
      <c r="AG6" s="31"/>
      <c r="AH6" s="19">
        <f t="shared" ref="AH6:AH20" si="9">IFERROR(AF6*AG6,0)</f>
        <v>0</v>
      </c>
      <c r="AI6" s="37">
        <f t="shared" ref="AI6:AI20" si="10">H6+K6+N6+Q6+T6+W6+Z6+AC6+AF6</f>
        <v>85</v>
      </c>
      <c r="AJ6" s="37">
        <f t="shared" ref="AJ6:AJ20" si="11">E6+AI6</f>
        <v>85</v>
      </c>
      <c r="AK6" s="38">
        <f t="shared" ref="AK6:AK20" si="12">IFERROR((G6+J6+M6+P6+S6+V6+Y6+AB6+AE6+AH6)/AJ6,F6)</f>
        <v>557.35294117647061</v>
      </c>
      <c r="AL6" s="38">
        <f t="shared" ref="AL6:AL20" si="13">AJ6*AK6</f>
        <v>47375</v>
      </c>
    </row>
    <row r="7" spans="1:38" x14ac:dyDescent="0.3">
      <c r="A7" s="16" t="s">
        <v>103</v>
      </c>
      <c r="B7" s="16" t="s">
        <v>104</v>
      </c>
      <c r="C7" s="16" t="s">
        <v>101</v>
      </c>
      <c r="D7" s="16" t="s">
        <v>102</v>
      </c>
      <c r="E7" s="24">
        <v>0</v>
      </c>
      <c r="F7" s="25">
        <f>'Item Master'!E6</f>
        <v>480</v>
      </c>
      <c r="G7" s="19">
        <f t="shared" si="0"/>
        <v>0</v>
      </c>
      <c r="H7" s="24">
        <v>40</v>
      </c>
      <c r="I7" s="20">
        <v>485</v>
      </c>
      <c r="J7" s="19">
        <f t="shared" si="1"/>
        <v>19400</v>
      </c>
      <c r="K7" s="24">
        <v>35</v>
      </c>
      <c r="L7" s="20">
        <v>480</v>
      </c>
      <c r="M7" s="19">
        <f t="shared" si="2"/>
        <v>16800</v>
      </c>
      <c r="N7" s="31"/>
      <c r="O7" s="31"/>
      <c r="P7" s="19">
        <f t="shared" si="3"/>
        <v>0</v>
      </c>
      <c r="Q7" s="31"/>
      <c r="R7" s="31"/>
      <c r="S7" s="19">
        <f t="shared" si="4"/>
        <v>0</v>
      </c>
      <c r="T7" s="31"/>
      <c r="U7" s="31"/>
      <c r="V7" s="19">
        <f t="shared" si="5"/>
        <v>0</v>
      </c>
      <c r="W7" s="31"/>
      <c r="X7" s="31"/>
      <c r="Y7" s="19">
        <f t="shared" si="6"/>
        <v>0</v>
      </c>
      <c r="Z7" s="31"/>
      <c r="AA7" s="31"/>
      <c r="AB7" s="19">
        <f t="shared" si="7"/>
        <v>0</v>
      </c>
      <c r="AC7" s="31"/>
      <c r="AD7" s="31"/>
      <c r="AE7" s="19">
        <f t="shared" si="8"/>
        <v>0</v>
      </c>
      <c r="AF7" s="31"/>
      <c r="AG7" s="31"/>
      <c r="AH7" s="19">
        <f t="shared" si="9"/>
        <v>0</v>
      </c>
      <c r="AI7" s="37">
        <f t="shared" si="10"/>
        <v>75</v>
      </c>
      <c r="AJ7" s="37">
        <f t="shared" si="11"/>
        <v>75</v>
      </c>
      <c r="AK7" s="38">
        <f t="shared" si="12"/>
        <v>482.66666666666669</v>
      </c>
      <c r="AL7" s="38">
        <f t="shared" si="13"/>
        <v>36200</v>
      </c>
    </row>
    <row r="8" spans="1:38" x14ac:dyDescent="0.3">
      <c r="A8" s="16" t="s">
        <v>105</v>
      </c>
      <c r="B8" s="16" t="s">
        <v>106</v>
      </c>
      <c r="C8" s="16" t="s">
        <v>101</v>
      </c>
      <c r="D8" s="16" t="s">
        <v>102</v>
      </c>
      <c r="E8" s="24">
        <v>0</v>
      </c>
      <c r="F8" s="25">
        <f>'Item Master'!E7</f>
        <v>650</v>
      </c>
      <c r="G8" s="19">
        <f t="shared" si="0"/>
        <v>0</v>
      </c>
      <c r="H8" s="24">
        <v>20</v>
      </c>
      <c r="I8" s="20">
        <v>650</v>
      </c>
      <c r="J8" s="19">
        <f t="shared" si="1"/>
        <v>13000</v>
      </c>
      <c r="K8" s="31"/>
      <c r="L8" s="31"/>
      <c r="M8" s="19">
        <f t="shared" si="2"/>
        <v>0</v>
      </c>
      <c r="N8" s="31"/>
      <c r="O8" s="31"/>
      <c r="P8" s="19">
        <f t="shared" si="3"/>
        <v>0</v>
      </c>
      <c r="Q8" s="31"/>
      <c r="R8" s="31"/>
      <c r="S8" s="19">
        <f t="shared" si="4"/>
        <v>0</v>
      </c>
      <c r="T8" s="31"/>
      <c r="U8" s="31"/>
      <c r="V8" s="19">
        <f t="shared" si="5"/>
        <v>0</v>
      </c>
      <c r="W8" s="31"/>
      <c r="X8" s="31"/>
      <c r="Y8" s="19">
        <f t="shared" si="6"/>
        <v>0</v>
      </c>
      <c r="Z8" s="31"/>
      <c r="AA8" s="31"/>
      <c r="AB8" s="19">
        <f t="shared" si="7"/>
        <v>0</v>
      </c>
      <c r="AC8" s="31"/>
      <c r="AD8" s="31"/>
      <c r="AE8" s="19">
        <f t="shared" si="8"/>
        <v>0</v>
      </c>
      <c r="AF8" s="31"/>
      <c r="AG8" s="31"/>
      <c r="AH8" s="19">
        <f t="shared" si="9"/>
        <v>0</v>
      </c>
      <c r="AI8" s="37">
        <f t="shared" si="10"/>
        <v>20</v>
      </c>
      <c r="AJ8" s="37">
        <f t="shared" si="11"/>
        <v>20</v>
      </c>
      <c r="AK8" s="38">
        <f t="shared" si="12"/>
        <v>650</v>
      </c>
      <c r="AL8" s="38">
        <f t="shared" si="13"/>
        <v>13000</v>
      </c>
    </row>
    <row r="9" spans="1:38" x14ac:dyDescent="0.3">
      <c r="A9" s="16" t="s">
        <v>107</v>
      </c>
      <c r="B9" s="16" t="s">
        <v>108</v>
      </c>
      <c r="C9" s="16" t="s">
        <v>109</v>
      </c>
      <c r="D9" s="16" t="s">
        <v>102</v>
      </c>
      <c r="E9" s="24">
        <v>0</v>
      </c>
      <c r="F9" s="25">
        <f>'Item Master'!E8</f>
        <v>60</v>
      </c>
      <c r="G9" s="19">
        <f t="shared" si="0"/>
        <v>0</v>
      </c>
      <c r="H9" s="24">
        <v>25</v>
      </c>
      <c r="I9" s="20">
        <v>58</v>
      </c>
      <c r="J9" s="19">
        <f t="shared" si="1"/>
        <v>1450</v>
      </c>
      <c r="K9" s="24">
        <v>25</v>
      </c>
      <c r="L9" s="20">
        <v>62</v>
      </c>
      <c r="M9" s="19">
        <f t="shared" si="2"/>
        <v>1550</v>
      </c>
      <c r="N9" s="31"/>
      <c r="O9" s="31"/>
      <c r="P9" s="19">
        <f t="shared" si="3"/>
        <v>0</v>
      </c>
      <c r="Q9" s="31"/>
      <c r="R9" s="31"/>
      <c r="S9" s="19">
        <f t="shared" si="4"/>
        <v>0</v>
      </c>
      <c r="T9" s="31"/>
      <c r="U9" s="31"/>
      <c r="V9" s="19">
        <f t="shared" si="5"/>
        <v>0</v>
      </c>
      <c r="W9" s="31"/>
      <c r="X9" s="31"/>
      <c r="Y9" s="19">
        <f t="shared" si="6"/>
        <v>0</v>
      </c>
      <c r="Z9" s="31"/>
      <c r="AA9" s="31"/>
      <c r="AB9" s="19">
        <f t="shared" si="7"/>
        <v>0</v>
      </c>
      <c r="AC9" s="31"/>
      <c r="AD9" s="31"/>
      <c r="AE9" s="19">
        <f t="shared" si="8"/>
        <v>0</v>
      </c>
      <c r="AF9" s="31"/>
      <c r="AG9" s="31"/>
      <c r="AH9" s="19">
        <f t="shared" si="9"/>
        <v>0</v>
      </c>
      <c r="AI9" s="37">
        <f t="shared" si="10"/>
        <v>50</v>
      </c>
      <c r="AJ9" s="37">
        <f t="shared" si="11"/>
        <v>50</v>
      </c>
      <c r="AK9" s="38">
        <f t="shared" si="12"/>
        <v>60</v>
      </c>
      <c r="AL9" s="38">
        <f t="shared" si="13"/>
        <v>3000</v>
      </c>
    </row>
    <row r="10" spans="1:38" x14ac:dyDescent="0.3">
      <c r="A10" s="16" t="s">
        <v>110</v>
      </c>
      <c r="B10" s="16" t="s">
        <v>111</v>
      </c>
      <c r="C10" s="16" t="s">
        <v>109</v>
      </c>
      <c r="D10" s="16" t="s">
        <v>102</v>
      </c>
      <c r="E10" s="24">
        <v>0</v>
      </c>
      <c r="F10" s="25">
        <f>'Item Master'!E9</f>
        <v>55</v>
      </c>
      <c r="G10" s="19">
        <f t="shared" si="0"/>
        <v>0</v>
      </c>
      <c r="H10" s="24">
        <v>25</v>
      </c>
      <c r="I10" s="20">
        <v>55</v>
      </c>
      <c r="J10" s="19">
        <f t="shared" si="1"/>
        <v>1375</v>
      </c>
      <c r="K10" s="24">
        <v>25</v>
      </c>
      <c r="L10" s="20">
        <v>57</v>
      </c>
      <c r="M10" s="19">
        <f t="shared" si="2"/>
        <v>1425</v>
      </c>
      <c r="N10" s="31"/>
      <c r="O10" s="31"/>
      <c r="P10" s="19">
        <f t="shared" si="3"/>
        <v>0</v>
      </c>
      <c r="Q10" s="31"/>
      <c r="R10" s="31"/>
      <c r="S10" s="19">
        <f t="shared" si="4"/>
        <v>0</v>
      </c>
      <c r="T10" s="31"/>
      <c r="U10" s="31"/>
      <c r="V10" s="19">
        <f t="shared" si="5"/>
        <v>0</v>
      </c>
      <c r="W10" s="31"/>
      <c r="X10" s="31"/>
      <c r="Y10" s="19">
        <f t="shared" si="6"/>
        <v>0</v>
      </c>
      <c r="Z10" s="31"/>
      <c r="AA10" s="31"/>
      <c r="AB10" s="19">
        <f t="shared" si="7"/>
        <v>0</v>
      </c>
      <c r="AC10" s="31"/>
      <c r="AD10" s="31"/>
      <c r="AE10" s="19">
        <f t="shared" si="8"/>
        <v>0</v>
      </c>
      <c r="AF10" s="31"/>
      <c r="AG10" s="31"/>
      <c r="AH10" s="19">
        <f t="shared" si="9"/>
        <v>0</v>
      </c>
      <c r="AI10" s="37">
        <f t="shared" si="10"/>
        <v>50</v>
      </c>
      <c r="AJ10" s="37">
        <f t="shared" si="11"/>
        <v>50</v>
      </c>
      <c r="AK10" s="38">
        <f t="shared" si="12"/>
        <v>56</v>
      </c>
      <c r="AL10" s="38">
        <f t="shared" si="13"/>
        <v>2800</v>
      </c>
    </row>
    <row r="11" spans="1:38" x14ac:dyDescent="0.3">
      <c r="A11" s="16" t="s">
        <v>112</v>
      </c>
      <c r="B11" s="16" t="s">
        <v>113</v>
      </c>
      <c r="C11" s="16" t="s">
        <v>109</v>
      </c>
      <c r="D11" s="16" t="s">
        <v>102</v>
      </c>
      <c r="E11" s="24">
        <v>0</v>
      </c>
      <c r="F11" s="25">
        <f>'Item Master'!E10</f>
        <v>40</v>
      </c>
      <c r="G11" s="19">
        <f t="shared" si="0"/>
        <v>0</v>
      </c>
      <c r="H11" s="24">
        <v>25</v>
      </c>
      <c r="I11" s="20">
        <v>40</v>
      </c>
      <c r="J11" s="19">
        <f t="shared" si="1"/>
        <v>1000</v>
      </c>
      <c r="K11" s="31"/>
      <c r="L11" s="31"/>
      <c r="M11" s="19">
        <f t="shared" si="2"/>
        <v>0</v>
      </c>
      <c r="N11" s="31"/>
      <c r="O11" s="31"/>
      <c r="P11" s="19">
        <f t="shared" si="3"/>
        <v>0</v>
      </c>
      <c r="Q11" s="31"/>
      <c r="R11" s="31"/>
      <c r="S11" s="19">
        <f t="shared" si="4"/>
        <v>0</v>
      </c>
      <c r="T11" s="31"/>
      <c r="U11" s="31"/>
      <c r="V11" s="19">
        <f t="shared" si="5"/>
        <v>0</v>
      </c>
      <c r="W11" s="31"/>
      <c r="X11" s="31"/>
      <c r="Y11" s="19">
        <f t="shared" si="6"/>
        <v>0</v>
      </c>
      <c r="Z11" s="31"/>
      <c r="AA11" s="31"/>
      <c r="AB11" s="19">
        <f t="shared" si="7"/>
        <v>0</v>
      </c>
      <c r="AC11" s="31"/>
      <c r="AD11" s="31"/>
      <c r="AE11" s="19">
        <f t="shared" si="8"/>
        <v>0</v>
      </c>
      <c r="AF11" s="31"/>
      <c r="AG11" s="31"/>
      <c r="AH11" s="19">
        <f t="shared" si="9"/>
        <v>0</v>
      </c>
      <c r="AI11" s="37">
        <f t="shared" si="10"/>
        <v>25</v>
      </c>
      <c r="AJ11" s="37">
        <f t="shared" si="11"/>
        <v>25</v>
      </c>
      <c r="AK11" s="38">
        <f t="shared" si="12"/>
        <v>40</v>
      </c>
      <c r="AL11" s="38">
        <f t="shared" si="13"/>
        <v>1000</v>
      </c>
    </row>
    <row r="12" spans="1:38" x14ac:dyDescent="0.3">
      <c r="A12" s="16" t="s">
        <v>114</v>
      </c>
      <c r="B12" s="16" t="s">
        <v>115</v>
      </c>
      <c r="C12" s="16" t="s">
        <v>116</v>
      </c>
      <c r="D12" s="16" t="s">
        <v>117</v>
      </c>
      <c r="E12" s="24">
        <v>0</v>
      </c>
      <c r="F12" s="25">
        <f>'Item Master'!E11</f>
        <v>12</v>
      </c>
      <c r="G12" s="19">
        <f t="shared" si="0"/>
        <v>0</v>
      </c>
      <c r="H12" s="24">
        <v>150</v>
      </c>
      <c r="I12" s="20">
        <v>12</v>
      </c>
      <c r="J12" s="19">
        <f t="shared" si="1"/>
        <v>1800</v>
      </c>
      <c r="K12" s="31"/>
      <c r="L12" s="31"/>
      <c r="M12" s="19">
        <f t="shared" si="2"/>
        <v>0</v>
      </c>
      <c r="N12" s="31"/>
      <c r="O12" s="31"/>
      <c r="P12" s="19">
        <f t="shared" si="3"/>
        <v>0</v>
      </c>
      <c r="Q12" s="31"/>
      <c r="R12" s="31"/>
      <c r="S12" s="19">
        <f t="shared" si="4"/>
        <v>0</v>
      </c>
      <c r="T12" s="31"/>
      <c r="U12" s="31"/>
      <c r="V12" s="19">
        <f t="shared" si="5"/>
        <v>0</v>
      </c>
      <c r="W12" s="31"/>
      <c r="X12" s="31"/>
      <c r="Y12" s="19">
        <f t="shared" si="6"/>
        <v>0</v>
      </c>
      <c r="Z12" s="31"/>
      <c r="AA12" s="31"/>
      <c r="AB12" s="19">
        <f t="shared" si="7"/>
        <v>0</v>
      </c>
      <c r="AC12" s="31"/>
      <c r="AD12" s="31"/>
      <c r="AE12" s="19">
        <f t="shared" si="8"/>
        <v>0</v>
      </c>
      <c r="AF12" s="31"/>
      <c r="AG12" s="31"/>
      <c r="AH12" s="19">
        <f t="shared" si="9"/>
        <v>0</v>
      </c>
      <c r="AI12" s="37">
        <f t="shared" si="10"/>
        <v>150</v>
      </c>
      <c r="AJ12" s="37">
        <f t="shared" si="11"/>
        <v>150</v>
      </c>
      <c r="AK12" s="38">
        <f t="shared" si="12"/>
        <v>12</v>
      </c>
      <c r="AL12" s="38">
        <f t="shared" si="13"/>
        <v>1800</v>
      </c>
    </row>
    <row r="13" spans="1:38" x14ac:dyDescent="0.3">
      <c r="A13" s="16" t="s">
        <v>118</v>
      </c>
      <c r="B13" s="16" t="s">
        <v>119</v>
      </c>
      <c r="C13" s="16" t="s">
        <v>120</v>
      </c>
      <c r="D13" s="16" t="s">
        <v>102</v>
      </c>
      <c r="E13" s="24">
        <v>0</v>
      </c>
      <c r="F13" s="25">
        <f>'Item Master'!E12</f>
        <v>55</v>
      </c>
      <c r="G13" s="19">
        <f t="shared" si="0"/>
        <v>0</v>
      </c>
      <c r="H13" s="24">
        <v>60</v>
      </c>
      <c r="I13" s="20">
        <v>55</v>
      </c>
      <c r="J13" s="19">
        <f t="shared" si="1"/>
        <v>3300</v>
      </c>
      <c r="K13" s="31"/>
      <c r="L13" s="31"/>
      <c r="M13" s="19">
        <f t="shared" si="2"/>
        <v>0</v>
      </c>
      <c r="N13" s="31"/>
      <c r="O13" s="31"/>
      <c r="P13" s="19">
        <f t="shared" si="3"/>
        <v>0</v>
      </c>
      <c r="Q13" s="31"/>
      <c r="R13" s="31"/>
      <c r="S13" s="19">
        <f t="shared" si="4"/>
        <v>0</v>
      </c>
      <c r="T13" s="31"/>
      <c r="U13" s="31"/>
      <c r="V13" s="19">
        <f t="shared" si="5"/>
        <v>0</v>
      </c>
      <c r="W13" s="31"/>
      <c r="X13" s="31"/>
      <c r="Y13" s="19">
        <f t="shared" si="6"/>
        <v>0</v>
      </c>
      <c r="Z13" s="31"/>
      <c r="AA13" s="31"/>
      <c r="AB13" s="19">
        <f t="shared" si="7"/>
        <v>0</v>
      </c>
      <c r="AC13" s="31"/>
      <c r="AD13" s="31"/>
      <c r="AE13" s="19">
        <f t="shared" si="8"/>
        <v>0</v>
      </c>
      <c r="AF13" s="31"/>
      <c r="AG13" s="31"/>
      <c r="AH13" s="19">
        <f t="shared" si="9"/>
        <v>0</v>
      </c>
      <c r="AI13" s="37">
        <f t="shared" si="10"/>
        <v>60</v>
      </c>
      <c r="AJ13" s="37">
        <f t="shared" si="11"/>
        <v>60</v>
      </c>
      <c r="AK13" s="38">
        <f t="shared" si="12"/>
        <v>55</v>
      </c>
      <c r="AL13" s="38">
        <f t="shared" si="13"/>
        <v>3300</v>
      </c>
    </row>
    <row r="14" spans="1:38" x14ac:dyDescent="0.3">
      <c r="A14" s="16" t="s">
        <v>121</v>
      </c>
      <c r="B14" s="16" t="s">
        <v>122</v>
      </c>
      <c r="C14" s="16" t="s">
        <v>116</v>
      </c>
      <c r="D14" s="16" t="s">
        <v>102</v>
      </c>
      <c r="E14" s="24">
        <v>0</v>
      </c>
      <c r="F14" s="25">
        <f>'Item Master'!E13</f>
        <v>480</v>
      </c>
      <c r="G14" s="19">
        <f t="shared" si="0"/>
        <v>0</v>
      </c>
      <c r="H14" s="24">
        <v>20</v>
      </c>
      <c r="I14" s="20">
        <v>480</v>
      </c>
      <c r="J14" s="19">
        <f t="shared" si="1"/>
        <v>9600</v>
      </c>
      <c r="K14" s="31"/>
      <c r="L14" s="31"/>
      <c r="M14" s="19">
        <f t="shared" si="2"/>
        <v>0</v>
      </c>
      <c r="N14" s="31"/>
      <c r="O14" s="31"/>
      <c r="P14" s="19">
        <f t="shared" si="3"/>
        <v>0</v>
      </c>
      <c r="Q14" s="31"/>
      <c r="R14" s="31"/>
      <c r="S14" s="19">
        <f t="shared" si="4"/>
        <v>0</v>
      </c>
      <c r="T14" s="31"/>
      <c r="U14" s="31"/>
      <c r="V14" s="19">
        <f t="shared" si="5"/>
        <v>0</v>
      </c>
      <c r="W14" s="31"/>
      <c r="X14" s="31"/>
      <c r="Y14" s="19">
        <f t="shared" si="6"/>
        <v>0</v>
      </c>
      <c r="Z14" s="31"/>
      <c r="AA14" s="31"/>
      <c r="AB14" s="19">
        <f t="shared" si="7"/>
        <v>0</v>
      </c>
      <c r="AC14" s="31"/>
      <c r="AD14" s="31"/>
      <c r="AE14" s="19">
        <f t="shared" si="8"/>
        <v>0</v>
      </c>
      <c r="AF14" s="31"/>
      <c r="AG14" s="31"/>
      <c r="AH14" s="19">
        <f t="shared" si="9"/>
        <v>0</v>
      </c>
      <c r="AI14" s="37">
        <f t="shared" si="10"/>
        <v>20</v>
      </c>
      <c r="AJ14" s="37">
        <f t="shared" si="11"/>
        <v>20</v>
      </c>
      <c r="AK14" s="38">
        <f t="shared" si="12"/>
        <v>480</v>
      </c>
      <c r="AL14" s="38">
        <f t="shared" si="13"/>
        <v>9600</v>
      </c>
    </row>
    <row r="15" spans="1:38" x14ac:dyDescent="0.3">
      <c r="A15" s="16" t="s">
        <v>123</v>
      </c>
      <c r="B15" s="16" t="s">
        <v>124</v>
      </c>
      <c r="C15" s="16" t="s">
        <v>116</v>
      </c>
      <c r="D15" s="16" t="s">
        <v>117</v>
      </c>
      <c r="E15" s="24">
        <v>0</v>
      </c>
      <c r="F15" s="25">
        <f>'Item Master'!E14</f>
        <v>8</v>
      </c>
      <c r="G15" s="19">
        <f t="shared" si="0"/>
        <v>0</v>
      </c>
      <c r="H15" s="24">
        <v>150</v>
      </c>
      <c r="I15" s="20">
        <v>8</v>
      </c>
      <c r="J15" s="19">
        <f t="shared" si="1"/>
        <v>1200</v>
      </c>
      <c r="K15" s="31"/>
      <c r="L15" s="31"/>
      <c r="M15" s="19">
        <f t="shared" si="2"/>
        <v>0</v>
      </c>
      <c r="N15" s="31"/>
      <c r="O15" s="31"/>
      <c r="P15" s="19">
        <f t="shared" si="3"/>
        <v>0</v>
      </c>
      <c r="Q15" s="31"/>
      <c r="R15" s="31"/>
      <c r="S15" s="19">
        <f t="shared" si="4"/>
        <v>0</v>
      </c>
      <c r="T15" s="31"/>
      <c r="U15" s="31"/>
      <c r="V15" s="19">
        <f t="shared" si="5"/>
        <v>0</v>
      </c>
      <c r="W15" s="31"/>
      <c r="X15" s="31"/>
      <c r="Y15" s="19">
        <f t="shared" si="6"/>
        <v>0</v>
      </c>
      <c r="Z15" s="31"/>
      <c r="AA15" s="31"/>
      <c r="AB15" s="19">
        <f t="shared" si="7"/>
        <v>0</v>
      </c>
      <c r="AC15" s="31"/>
      <c r="AD15" s="31"/>
      <c r="AE15" s="19">
        <f t="shared" si="8"/>
        <v>0</v>
      </c>
      <c r="AF15" s="31"/>
      <c r="AG15" s="31"/>
      <c r="AH15" s="19">
        <f t="shared" si="9"/>
        <v>0</v>
      </c>
      <c r="AI15" s="37">
        <f t="shared" si="10"/>
        <v>150</v>
      </c>
      <c r="AJ15" s="37">
        <f t="shared" si="11"/>
        <v>150</v>
      </c>
      <c r="AK15" s="38">
        <f t="shared" si="12"/>
        <v>8</v>
      </c>
      <c r="AL15" s="38">
        <f t="shared" si="13"/>
        <v>1200</v>
      </c>
    </row>
    <row r="16" spans="1:38" x14ac:dyDescent="0.3">
      <c r="A16" s="16" t="s">
        <v>125</v>
      </c>
      <c r="B16" s="16" t="s">
        <v>126</v>
      </c>
      <c r="C16" s="16" t="s">
        <v>120</v>
      </c>
      <c r="D16" s="16" t="s">
        <v>102</v>
      </c>
      <c r="E16" s="24">
        <v>0</v>
      </c>
      <c r="F16" s="25">
        <f>'Item Master'!E15</f>
        <v>120</v>
      </c>
      <c r="G16" s="19">
        <f t="shared" si="0"/>
        <v>0</v>
      </c>
      <c r="H16" s="24">
        <v>35</v>
      </c>
      <c r="I16" s="20">
        <v>120</v>
      </c>
      <c r="J16" s="19">
        <f t="shared" si="1"/>
        <v>4200</v>
      </c>
      <c r="K16" s="31"/>
      <c r="L16" s="31"/>
      <c r="M16" s="19">
        <f t="shared" si="2"/>
        <v>0</v>
      </c>
      <c r="N16" s="31"/>
      <c r="O16" s="31"/>
      <c r="P16" s="19">
        <f t="shared" si="3"/>
        <v>0</v>
      </c>
      <c r="Q16" s="31"/>
      <c r="R16" s="31"/>
      <c r="S16" s="19">
        <f t="shared" si="4"/>
        <v>0</v>
      </c>
      <c r="T16" s="31"/>
      <c r="U16" s="31"/>
      <c r="V16" s="19">
        <f t="shared" si="5"/>
        <v>0</v>
      </c>
      <c r="W16" s="31"/>
      <c r="X16" s="31"/>
      <c r="Y16" s="19">
        <f t="shared" si="6"/>
        <v>0</v>
      </c>
      <c r="Z16" s="31"/>
      <c r="AA16" s="31"/>
      <c r="AB16" s="19">
        <f t="shared" si="7"/>
        <v>0</v>
      </c>
      <c r="AC16" s="31"/>
      <c r="AD16" s="31"/>
      <c r="AE16" s="19">
        <f t="shared" si="8"/>
        <v>0</v>
      </c>
      <c r="AF16" s="31"/>
      <c r="AG16" s="31"/>
      <c r="AH16" s="19">
        <f t="shared" si="9"/>
        <v>0</v>
      </c>
      <c r="AI16" s="37">
        <f t="shared" si="10"/>
        <v>35</v>
      </c>
      <c r="AJ16" s="37">
        <f t="shared" si="11"/>
        <v>35</v>
      </c>
      <c r="AK16" s="38">
        <f t="shared" si="12"/>
        <v>120</v>
      </c>
      <c r="AL16" s="38">
        <f t="shared" si="13"/>
        <v>4200</v>
      </c>
    </row>
    <row r="17" spans="1:38" x14ac:dyDescent="0.3">
      <c r="A17" s="16" t="s">
        <v>127</v>
      </c>
      <c r="B17" s="16" t="s">
        <v>128</v>
      </c>
      <c r="C17" s="16" t="s">
        <v>120</v>
      </c>
      <c r="D17" s="16" t="s">
        <v>117</v>
      </c>
      <c r="E17" s="24">
        <v>0</v>
      </c>
      <c r="F17" s="25">
        <f>'Item Master'!E16</f>
        <v>15</v>
      </c>
      <c r="G17" s="19">
        <f t="shared" si="0"/>
        <v>0</v>
      </c>
      <c r="H17" s="24">
        <v>90</v>
      </c>
      <c r="I17" s="20">
        <v>15</v>
      </c>
      <c r="J17" s="19">
        <f t="shared" si="1"/>
        <v>1350</v>
      </c>
      <c r="K17" s="31"/>
      <c r="L17" s="31"/>
      <c r="M17" s="19">
        <f t="shared" si="2"/>
        <v>0</v>
      </c>
      <c r="N17" s="31"/>
      <c r="O17" s="31"/>
      <c r="P17" s="19">
        <f t="shared" si="3"/>
        <v>0</v>
      </c>
      <c r="Q17" s="31"/>
      <c r="R17" s="31"/>
      <c r="S17" s="19">
        <f t="shared" si="4"/>
        <v>0</v>
      </c>
      <c r="T17" s="31"/>
      <c r="U17" s="31"/>
      <c r="V17" s="19">
        <f t="shared" si="5"/>
        <v>0</v>
      </c>
      <c r="W17" s="31"/>
      <c r="X17" s="31"/>
      <c r="Y17" s="19">
        <f t="shared" si="6"/>
        <v>0</v>
      </c>
      <c r="Z17" s="31"/>
      <c r="AA17" s="31"/>
      <c r="AB17" s="19">
        <f t="shared" si="7"/>
        <v>0</v>
      </c>
      <c r="AC17" s="31"/>
      <c r="AD17" s="31"/>
      <c r="AE17" s="19">
        <f t="shared" si="8"/>
        <v>0</v>
      </c>
      <c r="AF17" s="31"/>
      <c r="AG17" s="31"/>
      <c r="AH17" s="19">
        <f t="shared" si="9"/>
        <v>0</v>
      </c>
      <c r="AI17" s="37">
        <f t="shared" si="10"/>
        <v>90</v>
      </c>
      <c r="AJ17" s="37">
        <f t="shared" si="11"/>
        <v>90</v>
      </c>
      <c r="AK17" s="38">
        <f t="shared" si="12"/>
        <v>15</v>
      </c>
      <c r="AL17" s="38">
        <f t="shared" si="13"/>
        <v>1350</v>
      </c>
    </row>
    <row r="18" spans="1:38" x14ac:dyDescent="0.3">
      <c r="A18" s="16" t="s">
        <v>129</v>
      </c>
      <c r="B18" s="16" t="s">
        <v>130</v>
      </c>
      <c r="C18" s="16" t="s">
        <v>131</v>
      </c>
      <c r="D18" s="16" t="s">
        <v>102</v>
      </c>
      <c r="E18" s="24">
        <v>0</v>
      </c>
      <c r="F18" s="25">
        <f>'Item Master'!E17</f>
        <v>220</v>
      </c>
      <c r="G18" s="19">
        <f t="shared" si="0"/>
        <v>0</v>
      </c>
      <c r="H18" s="24">
        <v>35</v>
      </c>
      <c r="I18" s="20">
        <v>220</v>
      </c>
      <c r="J18" s="19">
        <f t="shared" si="1"/>
        <v>7700</v>
      </c>
      <c r="K18" s="31"/>
      <c r="L18" s="31"/>
      <c r="M18" s="19">
        <f t="shared" si="2"/>
        <v>0</v>
      </c>
      <c r="N18" s="31"/>
      <c r="O18" s="31"/>
      <c r="P18" s="19">
        <f t="shared" si="3"/>
        <v>0</v>
      </c>
      <c r="Q18" s="31"/>
      <c r="R18" s="31"/>
      <c r="S18" s="19">
        <f t="shared" si="4"/>
        <v>0</v>
      </c>
      <c r="T18" s="31"/>
      <c r="U18" s="31"/>
      <c r="V18" s="19">
        <f t="shared" si="5"/>
        <v>0</v>
      </c>
      <c r="W18" s="31"/>
      <c r="X18" s="31"/>
      <c r="Y18" s="19">
        <f t="shared" si="6"/>
        <v>0</v>
      </c>
      <c r="Z18" s="31"/>
      <c r="AA18" s="31"/>
      <c r="AB18" s="19">
        <f t="shared" si="7"/>
        <v>0</v>
      </c>
      <c r="AC18" s="31"/>
      <c r="AD18" s="31"/>
      <c r="AE18" s="19">
        <f t="shared" si="8"/>
        <v>0</v>
      </c>
      <c r="AF18" s="31"/>
      <c r="AG18" s="31"/>
      <c r="AH18" s="19">
        <f t="shared" si="9"/>
        <v>0</v>
      </c>
      <c r="AI18" s="37">
        <f t="shared" si="10"/>
        <v>35</v>
      </c>
      <c r="AJ18" s="37">
        <f t="shared" si="11"/>
        <v>35</v>
      </c>
      <c r="AK18" s="38">
        <f t="shared" si="12"/>
        <v>220</v>
      </c>
      <c r="AL18" s="38">
        <f t="shared" si="13"/>
        <v>7700</v>
      </c>
    </row>
    <row r="19" spans="1:38" x14ac:dyDescent="0.3">
      <c r="A19" s="16" t="s">
        <v>132</v>
      </c>
      <c r="B19" s="16" t="s">
        <v>133</v>
      </c>
      <c r="C19" s="16" t="s">
        <v>131</v>
      </c>
      <c r="D19" s="16" t="s">
        <v>102</v>
      </c>
      <c r="E19" s="24">
        <v>0</v>
      </c>
      <c r="F19" s="25">
        <f>'Item Master'!E18</f>
        <v>180</v>
      </c>
      <c r="G19" s="19">
        <f t="shared" si="0"/>
        <v>0</v>
      </c>
      <c r="H19" s="24">
        <v>35</v>
      </c>
      <c r="I19" s="20">
        <v>180</v>
      </c>
      <c r="J19" s="19">
        <f t="shared" si="1"/>
        <v>6300</v>
      </c>
      <c r="K19" s="31"/>
      <c r="L19" s="31"/>
      <c r="M19" s="19">
        <f t="shared" si="2"/>
        <v>0</v>
      </c>
      <c r="N19" s="31"/>
      <c r="O19" s="31"/>
      <c r="P19" s="19">
        <f t="shared" si="3"/>
        <v>0</v>
      </c>
      <c r="Q19" s="31"/>
      <c r="R19" s="31"/>
      <c r="S19" s="19">
        <f t="shared" si="4"/>
        <v>0</v>
      </c>
      <c r="T19" s="31"/>
      <c r="U19" s="31"/>
      <c r="V19" s="19">
        <f t="shared" si="5"/>
        <v>0</v>
      </c>
      <c r="W19" s="31"/>
      <c r="X19" s="31"/>
      <c r="Y19" s="19">
        <f t="shared" si="6"/>
        <v>0</v>
      </c>
      <c r="Z19" s="31"/>
      <c r="AA19" s="31"/>
      <c r="AB19" s="19">
        <f t="shared" si="7"/>
        <v>0</v>
      </c>
      <c r="AC19" s="31"/>
      <c r="AD19" s="31"/>
      <c r="AE19" s="19">
        <f t="shared" si="8"/>
        <v>0</v>
      </c>
      <c r="AF19" s="31"/>
      <c r="AG19" s="31"/>
      <c r="AH19" s="19">
        <f t="shared" si="9"/>
        <v>0</v>
      </c>
      <c r="AI19" s="37">
        <f t="shared" si="10"/>
        <v>35</v>
      </c>
      <c r="AJ19" s="37">
        <f t="shared" si="11"/>
        <v>35</v>
      </c>
      <c r="AK19" s="38">
        <f t="shared" si="12"/>
        <v>180</v>
      </c>
      <c r="AL19" s="38">
        <f t="shared" si="13"/>
        <v>6300</v>
      </c>
    </row>
    <row r="20" spans="1:38" x14ac:dyDescent="0.3">
      <c r="A20" s="16" t="s">
        <v>134</v>
      </c>
      <c r="B20" s="16" t="s">
        <v>135</v>
      </c>
      <c r="C20" s="16" t="s">
        <v>116</v>
      </c>
      <c r="D20" s="16" t="s">
        <v>102</v>
      </c>
      <c r="E20" s="24">
        <v>0</v>
      </c>
      <c r="F20" s="25">
        <f>'Item Master'!E19</f>
        <v>620</v>
      </c>
      <c r="G20" s="19">
        <f t="shared" si="0"/>
        <v>0</v>
      </c>
      <c r="H20" s="24">
        <v>25</v>
      </c>
      <c r="I20" s="20">
        <v>620</v>
      </c>
      <c r="J20" s="19">
        <f t="shared" si="1"/>
        <v>15500</v>
      </c>
      <c r="K20" s="31"/>
      <c r="L20" s="31"/>
      <c r="M20" s="19">
        <f t="shared" si="2"/>
        <v>0</v>
      </c>
      <c r="N20" s="31"/>
      <c r="O20" s="31"/>
      <c r="P20" s="19">
        <f t="shared" si="3"/>
        <v>0</v>
      </c>
      <c r="Q20" s="31"/>
      <c r="R20" s="31"/>
      <c r="S20" s="19">
        <f t="shared" si="4"/>
        <v>0</v>
      </c>
      <c r="T20" s="31"/>
      <c r="U20" s="31"/>
      <c r="V20" s="19">
        <f t="shared" si="5"/>
        <v>0</v>
      </c>
      <c r="W20" s="31"/>
      <c r="X20" s="31"/>
      <c r="Y20" s="19">
        <f t="shared" si="6"/>
        <v>0</v>
      </c>
      <c r="Z20" s="31"/>
      <c r="AA20" s="31"/>
      <c r="AB20" s="19">
        <f t="shared" si="7"/>
        <v>0</v>
      </c>
      <c r="AC20" s="31"/>
      <c r="AD20" s="31"/>
      <c r="AE20" s="19">
        <f t="shared" si="8"/>
        <v>0</v>
      </c>
      <c r="AF20" s="31"/>
      <c r="AG20" s="31"/>
      <c r="AH20" s="19">
        <f t="shared" si="9"/>
        <v>0</v>
      </c>
      <c r="AI20" s="37">
        <f t="shared" si="10"/>
        <v>25</v>
      </c>
      <c r="AJ20" s="37">
        <f t="shared" si="11"/>
        <v>25</v>
      </c>
      <c r="AK20" s="38">
        <f t="shared" si="12"/>
        <v>620</v>
      </c>
      <c r="AL20" s="38">
        <f t="shared" si="13"/>
        <v>15500</v>
      </c>
    </row>
    <row r="21" spans="1:38" x14ac:dyDescent="0.3">
      <c r="A21" s="63" t="s">
        <v>136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row>
    <row r="22" spans="1:38" x14ac:dyDescent="0.3">
      <c r="A22" s="16" t="s">
        <v>137</v>
      </c>
      <c r="B22" s="16" t="s">
        <v>138</v>
      </c>
      <c r="C22" s="16" t="s">
        <v>139</v>
      </c>
      <c r="D22" s="16" t="s">
        <v>102</v>
      </c>
      <c r="E22" s="24">
        <v>0</v>
      </c>
      <c r="F22" s="25">
        <f>'Item Master'!E21</f>
        <v>900</v>
      </c>
      <c r="G22" s="19">
        <f t="shared" ref="G22:G32" si="14">E22*F22</f>
        <v>0</v>
      </c>
      <c r="H22" s="24">
        <v>25</v>
      </c>
      <c r="I22" s="20">
        <v>900</v>
      </c>
      <c r="J22" s="19">
        <f t="shared" ref="J22:J32" si="15">IFERROR(H22*I22,0)</f>
        <v>22500</v>
      </c>
      <c r="K22" s="31"/>
      <c r="L22" s="31"/>
      <c r="M22" s="19">
        <f t="shared" ref="M22:M32" si="16">IFERROR(K22*L22,0)</f>
        <v>0</v>
      </c>
      <c r="N22" s="31"/>
      <c r="O22" s="31"/>
      <c r="P22" s="19">
        <f t="shared" ref="P22:P32" si="17">IFERROR(N22*O22,0)</f>
        <v>0</v>
      </c>
      <c r="Q22" s="31"/>
      <c r="R22" s="31"/>
      <c r="S22" s="19">
        <f t="shared" ref="S22:S32" si="18">IFERROR(Q22*R22,0)</f>
        <v>0</v>
      </c>
      <c r="T22" s="31"/>
      <c r="U22" s="31"/>
      <c r="V22" s="19">
        <f t="shared" ref="V22:V32" si="19">IFERROR(T22*U22,0)</f>
        <v>0</v>
      </c>
      <c r="W22" s="31"/>
      <c r="X22" s="31"/>
      <c r="Y22" s="19">
        <f t="shared" ref="Y22:Y32" si="20">IFERROR(W22*X22,0)</f>
        <v>0</v>
      </c>
      <c r="Z22" s="31"/>
      <c r="AA22" s="31"/>
      <c r="AB22" s="19">
        <f t="shared" ref="AB22:AB32" si="21">IFERROR(Z22*AA22,0)</f>
        <v>0</v>
      </c>
      <c r="AC22" s="31"/>
      <c r="AD22" s="31"/>
      <c r="AE22" s="19">
        <f t="shared" ref="AE22:AE32" si="22">IFERROR(AC22*AD22,0)</f>
        <v>0</v>
      </c>
      <c r="AF22" s="31"/>
      <c r="AG22" s="31"/>
      <c r="AH22" s="19">
        <f t="shared" ref="AH22:AH32" si="23">IFERROR(AF22*AG22,0)</f>
        <v>0</v>
      </c>
      <c r="AI22" s="37">
        <f t="shared" ref="AI22:AI32" si="24">H22+K22+N22+Q22+T22+W22+Z22+AC22+AF22</f>
        <v>25</v>
      </c>
      <c r="AJ22" s="37">
        <f t="shared" ref="AJ22:AJ32" si="25">E22+AI22</f>
        <v>25</v>
      </c>
      <c r="AK22" s="38">
        <f t="shared" ref="AK22:AK32" si="26">IFERROR((G22+J22+M22+P22+S22+V22+Y22+AB22+AE22+AH22)/AJ22,F22)</f>
        <v>900</v>
      </c>
      <c r="AL22" s="38">
        <f t="shared" ref="AL22:AL32" si="27">AJ22*AK22</f>
        <v>22500</v>
      </c>
    </row>
    <row r="23" spans="1:38" x14ac:dyDescent="0.3">
      <c r="A23" s="16" t="s">
        <v>140</v>
      </c>
      <c r="B23" s="16" t="s">
        <v>141</v>
      </c>
      <c r="C23" s="16" t="s">
        <v>139</v>
      </c>
      <c r="D23" s="16" t="s">
        <v>117</v>
      </c>
      <c r="E23" s="24">
        <v>0</v>
      </c>
      <c r="F23" s="25">
        <f>'Item Master'!E22</f>
        <v>3</v>
      </c>
      <c r="G23" s="19">
        <f t="shared" si="14"/>
        <v>0</v>
      </c>
      <c r="H23" s="31"/>
      <c r="I23" s="31"/>
      <c r="J23" s="19">
        <f t="shared" si="15"/>
        <v>0</v>
      </c>
      <c r="K23" s="31"/>
      <c r="L23" s="31"/>
      <c r="M23" s="19">
        <f t="shared" si="16"/>
        <v>0</v>
      </c>
      <c r="N23" s="31"/>
      <c r="O23" s="31"/>
      <c r="P23" s="19">
        <f t="shared" si="17"/>
        <v>0</v>
      </c>
      <c r="Q23" s="31"/>
      <c r="R23" s="31"/>
      <c r="S23" s="19">
        <f t="shared" si="18"/>
        <v>0</v>
      </c>
      <c r="T23" s="31"/>
      <c r="U23" s="31"/>
      <c r="V23" s="19">
        <f t="shared" si="19"/>
        <v>0</v>
      </c>
      <c r="W23" s="31"/>
      <c r="X23" s="31"/>
      <c r="Y23" s="19">
        <f t="shared" si="20"/>
        <v>0</v>
      </c>
      <c r="Z23" s="31"/>
      <c r="AA23" s="31"/>
      <c r="AB23" s="19">
        <f t="shared" si="21"/>
        <v>0</v>
      </c>
      <c r="AC23" s="31"/>
      <c r="AD23" s="31"/>
      <c r="AE23" s="19">
        <f t="shared" si="22"/>
        <v>0</v>
      </c>
      <c r="AF23" s="31"/>
      <c r="AG23" s="31"/>
      <c r="AH23" s="19">
        <f t="shared" si="23"/>
        <v>0</v>
      </c>
      <c r="AI23" s="37">
        <f t="shared" si="24"/>
        <v>0</v>
      </c>
      <c r="AJ23" s="37">
        <f t="shared" si="25"/>
        <v>0</v>
      </c>
      <c r="AK23" s="38">
        <f t="shared" si="26"/>
        <v>3</v>
      </c>
      <c r="AL23" s="38">
        <f t="shared" si="27"/>
        <v>0</v>
      </c>
    </row>
    <row r="24" spans="1:38" x14ac:dyDescent="0.3">
      <c r="A24" s="16" t="s">
        <v>142</v>
      </c>
      <c r="B24" s="16" t="s">
        <v>143</v>
      </c>
      <c r="C24" s="16" t="s">
        <v>139</v>
      </c>
      <c r="D24" s="16" t="s">
        <v>117</v>
      </c>
      <c r="E24" s="24">
        <v>0</v>
      </c>
      <c r="F24" s="25">
        <f>'Item Master'!E23</f>
        <v>4</v>
      </c>
      <c r="G24" s="19">
        <f t="shared" si="14"/>
        <v>0</v>
      </c>
      <c r="H24" s="31"/>
      <c r="I24" s="31"/>
      <c r="J24" s="19">
        <f t="shared" si="15"/>
        <v>0</v>
      </c>
      <c r="K24" s="31"/>
      <c r="L24" s="31"/>
      <c r="M24" s="19">
        <f t="shared" si="16"/>
        <v>0</v>
      </c>
      <c r="N24" s="31"/>
      <c r="O24" s="31"/>
      <c r="P24" s="19">
        <f t="shared" si="17"/>
        <v>0</v>
      </c>
      <c r="Q24" s="31"/>
      <c r="R24" s="31"/>
      <c r="S24" s="19">
        <f t="shared" si="18"/>
        <v>0</v>
      </c>
      <c r="T24" s="31"/>
      <c r="U24" s="31"/>
      <c r="V24" s="19">
        <f t="shared" si="19"/>
        <v>0</v>
      </c>
      <c r="W24" s="31"/>
      <c r="X24" s="31"/>
      <c r="Y24" s="19">
        <f t="shared" si="20"/>
        <v>0</v>
      </c>
      <c r="Z24" s="31"/>
      <c r="AA24" s="31"/>
      <c r="AB24" s="19">
        <f t="shared" si="21"/>
        <v>0</v>
      </c>
      <c r="AC24" s="31"/>
      <c r="AD24" s="31"/>
      <c r="AE24" s="19">
        <f t="shared" si="22"/>
        <v>0</v>
      </c>
      <c r="AF24" s="31"/>
      <c r="AG24" s="31"/>
      <c r="AH24" s="19">
        <f t="shared" si="23"/>
        <v>0</v>
      </c>
      <c r="AI24" s="37">
        <f t="shared" si="24"/>
        <v>0</v>
      </c>
      <c r="AJ24" s="37">
        <f t="shared" si="25"/>
        <v>0</v>
      </c>
      <c r="AK24" s="38">
        <f t="shared" si="26"/>
        <v>4</v>
      </c>
      <c r="AL24" s="38">
        <f t="shared" si="27"/>
        <v>0</v>
      </c>
    </row>
    <row r="25" spans="1:38" x14ac:dyDescent="0.3">
      <c r="A25" s="16" t="s">
        <v>144</v>
      </c>
      <c r="B25" s="16" t="s">
        <v>145</v>
      </c>
      <c r="C25" s="16" t="s">
        <v>146</v>
      </c>
      <c r="D25" s="16" t="s">
        <v>147</v>
      </c>
      <c r="E25" s="24">
        <v>0</v>
      </c>
      <c r="F25" s="25">
        <f>'Item Master'!E24</f>
        <v>65</v>
      </c>
      <c r="G25" s="19">
        <f t="shared" si="14"/>
        <v>0</v>
      </c>
      <c r="H25" s="24">
        <v>70</v>
      </c>
      <c r="I25" s="20">
        <v>65</v>
      </c>
      <c r="J25" s="19">
        <f t="shared" si="15"/>
        <v>4550</v>
      </c>
      <c r="K25" s="24">
        <v>60</v>
      </c>
      <c r="L25" s="20">
        <v>66</v>
      </c>
      <c r="M25" s="19">
        <f t="shared" si="16"/>
        <v>3960</v>
      </c>
      <c r="N25" s="31"/>
      <c r="O25" s="31"/>
      <c r="P25" s="19">
        <f t="shared" si="17"/>
        <v>0</v>
      </c>
      <c r="Q25" s="31"/>
      <c r="R25" s="31"/>
      <c r="S25" s="19">
        <f t="shared" si="18"/>
        <v>0</v>
      </c>
      <c r="T25" s="31"/>
      <c r="U25" s="31"/>
      <c r="V25" s="19">
        <f t="shared" si="19"/>
        <v>0</v>
      </c>
      <c r="W25" s="31"/>
      <c r="X25" s="31"/>
      <c r="Y25" s="19">
        <f t="shared" si="20"/>
        <v>0</v>
      </c>
      <c r="Z25" s="31"/>
      <c r="AA25" s="31"/>
      <c r="AB25" s="19">
        <f t="shared" si="21"/>
        <v>0</v>
      </c>
      <c r="AC25" s="31"/>
      <c r="AD25" s="31"/>
      <c r="AE25" s="19">
        <f t="shared" si="22"/>
        <v>0</v>
      </c>
      <c r="AF25" s="31"/>
      <c r="AG25" s="31"/>
      <c r="AH25" s="19">
        <f t="shared" si="23"/>
        <v>0</v>
      </c>
      <c r="AI25" s="37">
        <f t="shared" si="24"/>
        <v>130</v>
      </c>
      <c r="AJ25" s="37">
        <f t="shared" si="25"/>
        <v>130</v>
      </c>
      <c r="AK25" s="38">
        <f t="shared" si="26"/>
        <v>65.461538461538467</v>
      </c>
      <c r="AL25" s="38">
        <f t="shared" si="27"/>
        <v>8510</v>
      </c>
    </row>
    <row r="26" spans="1:38" x14ac:dyDescent="0.3">
      <c r="A26" s="16" t="s">
        <v>148</v>
      </c>
      <c r="B26" s="16" t="s">
        <v>149</v>
      </c>
      <c r="C26" s="16" t="s">
        <v>139</v>
      </c>
      <c r="D26" s="16" t="s">
        <v>102</v>
      </c>
      <c r="E26" s="24">
        <v>0</v>
      </c>
      <c r="F26" s="25">
        <f>'Item Master'!E25</f>
        <v>350</v>
      </c>
      <c r="G26" s="19">
        <f t="shared" si="14"/>
        <v>0</v>
      </c>
      <c r="H26" s="31"/>
      <c r="I26" s="31"/>
      <c r="J26" s="19">
        <f t="shared" si="15"/>
        <v>0</v>
      </c>
      <c r="K26" s="31"/>
      <c r="L26" s="31"/>
      <c r="M26" s="19">
        <f t="shared" si="16"/>
        <v>0</v>
      </c>
      <c r="N26" s="31"/>
      <c r="O26" s="31"/>
      <c r="P26" s="19">
        <f t="shared" si="17"/>
        <v>0</v>
      </c>
      <c r="Q26" s="31"/>
      <c r="R26" s="31"/>
      <c r="S26" s="19">
        <f t="shared" si="18"/>
        <v>0</v>
      </c>
      <c r="T26" s="31"/>
      <c r="U26" s="31"/>
      <c r="V26" s="19">
        <f t="shared" si="19"/>
        <v>0</v>
      </c>
      <c r="W26" s="31"/>
      <c r="X26" s="31"/>
      <c r="Y26" s="19">
        <f t="shared" si="20"/>
        <v>0</v>
      </c>
      <c r="Z26" s="31"/>
      <c r="AA26" s="31"/>
      <c r="AB26" s="19">
        <f t="shared" si="21"/>
        <v>0</v>
      </c>
      <c r="AC26" s="31"/>
      <c r="AD26" s="31"/>
      <c r="AE26" s="19">
        <f t="shared" si="22"/>
        <v>0</v>
      </c>
      <c r="AF26" s="31"/>
      <c r="AG26" s="31"/>
      <c r="AH26" s="19">
        <f t="shared" si="23"/>
        <v>0</v>
      </c>
      <c r="AI26" s="37">
        <f t="shared" si="24"/>
        <v>0</v>
      </c>
      <c r="AJ26" s="37">
        <f t="shared" si="25"/>
        <v>0</v>
      </c>
      <c r="AK26" s="38">
        <f t="shared" si="26"/>
        <v>350</v>
      </c>
      <c r="AL26" s="38">
        <f t="shared" si="27"/>
        <v>0</v>
      </c>
    </row>
    <row r="27" spans="1:38" x14ac:dyDescent="0.3">
      <c r="A27" s="16" t="s">
        <v>150</v>
      </c>
      <c r="B27" s="16" t="s">
        <v>151</v>
      </c>
      <c r="C27" s="16" t="s">
        <v>152</v>
      </c>
      <c r="D27" s="16" t="s">
        <v>147</v>
      </c>
      <c r="E27" s="24">
        <v>0</v>
      </c>
      <c r="F27" s="25">
        <f>'Item Master'!E26</f>
        <v>950</v>
      </c>
      <c r="G27" s="19">
        <f t="shared" si="14"/>
        <v>0</v>
      </c>
      <c r="H27" s="24">
        <v>12</v>
      </c>
      <c r="I27" s="20">
        <v>950</v>
      </c>
      <c r="J27" s="19">
        <f t="shared" si="15"/>
        <v>11400</v>
      </c>
      <c r="K27" s="31"/>
      <c r="L27" s="31"/>
      <c r="M27" s="19">
        <f t="shared" si="16"/>
        <v>0</v>
      </c>
      <c r="N27" s="31"/>
      <c r="O27" s="31"/>
      <c r="P27" s="19">
        <f t="shared" si="17"/>
        <v>0</v>
      </c>
      <c r="Q27" s="31"/>
      <c r="R27" s="31"/>
      <c r="S27" s="19">
        <f t="shared" si="18"/>
        <v>0</v>
      </c>
      <c r="T27" s="31"/>
      <c r="U27" s="31"/>
      <c r="V27" s="19">
        <f t="shared" si="19"/>
        <v>0</v>
      </c>
      <c r="W27" s="31"/>
      <c r="X27" s="31"/>
      <c r="Y27" s="19">
        <f t="shared" si="20"/>
        <v>0</v>
      </c>
      <c r="Z27" s="31"/>
      <c r="AA27" s="31"/>
      <c r="AB27" s="19">
        <f t="shared" si="21"/>
        <v>0</v>
      </c>
      <c r="AC27" s="31"/>
      <c r="AD27" s="31"/>
      <c r="AE27" s="19">
        <f t="shared" si="22"/>
        <v>0</v>
      </c>
      <c r="AF27" s="31"/>
      <c r="AG27" s="31"/>
      <c r="AH27" s="19">
        <f t="shared" si="23"/>
        <v>0</v>
      </c>
      <c r="AI27" s="37">
        <f t="shared" si="24"/>
        <v>12</v>
      </c>
      <c r="AJ27" s="37">
        <f t="shared" si="25"/>
        <v>12</v>
      </c>
      <c r="AK27" s="38">
        <f t="shared" si="26"/>
        <v>950</v>
      </c>
      <c r="AL27" s="38">
        <f t="shared" si="27"/>
        <v>11400</v>
      </c>
    </row>
    <row r="28" spans="1:38" x14ac:dyDescent="0.3">
      <c r="A28" s="16" t="s">
        <v>153</v>
      </c>
      <c r="B28" s="16" t="s">
        <v>154</v>
      </c>
      <c r="C28" s="16" t="s">
        <v>155</v>
      </c>
      <c r="D28" s="16" t="s">
        <v>102</v>
      </c>
      <c r="E28" s="24">
        <v>0</v>
      </c>
      <c r="F28" s="25">
        <f>'Item Master'!E27</f>
        <v>150</v>
      </c>
      <c r="G28" s="19">
        <f t="shared" si="14"/>
        <v>0</v>
      </c>
      <c r="H28" s="31"/>
      <c r="I28" s="31"/>
      <c r="J28" s="19">
        <f t="shared" si="15"/>
        <v>0</v>
      </c>
      <c r="K28" s="31"/>
      <c r="L28" s="31"/>
      <c r="M28" s="19">
        <f t="shared" si="16"/>
        <v>0</v>
      </c>
      <c r="N28" s="31"/>
      <c r="O28" s="31"/>
      <c r="P28" s="19">
        <f t="shared" si="17"/>
        <v>0</v>
      </c>
      <c r="Q28" s="31"/>
      <c r="R28" s="31"/>
      <c r="S28" s="19">
        <f t="shared" si="18"/>
        <v>0</v>
      </c>
      <c r="T28" s="31"/>
      <c r="U28" s="31"/>
      <c r="V28" s="19">
        <f t="shared" si="19"/>
        <v>0</v>
      </c>
      <c r="W28" s="31"/>
      <c r="X28" s="31"/>
      <c r="Y28" s="19">
        <f t="shared" si="20"/>
        <v>0</v>
      </c>
      <c r="Z28" s="31"/>
      <c r="AA28" s="31"/>
      <c r="AB28" s="19">
        <f t="shared" si="21"/>
        <v>0</v>
      </c>
      <c r="AC28" s="31"/>
      <c r="AD28" s="31"/>
      <c r="AE28" s="19">
        <f t="shared" si="22"/>
        <v>0</v>
      </c>
      <c r="AF28" s="31"/>
      <c r="AG28" s="31"/>
      <c r="AH28" s="19">
        <f t="shared" si="23"/>
        <v>0</v>
      </c>
      <c r="AI28" s="37">
        <f t="shared" si="24"/>
        <v>0</v>
      </c>
      <c r="AJ28" s="37">
        <f t="shared" si="25"/>
        <v>0</v>
      </c>
      <c r="AK28" s="38">
        <f t="shared" si="26"/>
        <v>150</v>
      </c>
      <c r="AL28" s="38">
        <f t="shared" si="27"/>
        <v>0</v>
      </c>
    </row>
    <row r="29" spans="1:38" x14ac:dyDescent="0.3">
      <c r="A29" s="16" t="s">
        <v>156</v>
      </c>
      <c r="B29" s="16" t="s">
        <v>157</v>
      </c>
      <c r="C29" s="16" t="s">
        <v>155</v>
      </c>
      <c r="D29" s="16" t="s">
        <v>102</v>
      </c>
      <c r="E29" s="24">
        <v>0</v>
      </c>
      <c r="F29" s="25">
        <f>'Item Master'!E28</f>
        <v>100</v>
      </c>
      <c r="G29" s="19">
        <f t="shared" si="14"/>
        <v>0</v>
      </c>
      <c r="H29" s="24">
        <v>12</v>
      </c>
      <c r="I29" s="20">
        <v>100</v>
      </c>
      <c r="J29" s="19">
        <f t="shared" si="15"/>
        <v>1200</v>
      </c>
      <c r="K29" s="31"/>
      <c r="L29" s="31"/>
      <c r="M29" s="19">
        <f t="shared" si="16"/>
        <v>0</v>
      </c>
      <c r="N29" s="31"/>
      <c r="O29" s="31"/>
      <c r="P29" s="19">
        <f t="shared" si="17"/>
        <v>0</v>
      </c>
      <c r="Q29" s="31"/>
      <c r="R29" s="31"/>
      <c r="S29" s="19">
        <f t="shared" si="18"/>
        <v>0</v>
      </c>
      <c r="T29" s="31"/>
      <c r="U29" s="31"/>
      <c r="V29" s="19">
        <f t="shared" si="19"/>
        <v>0</v>
      </c>
      <c r="W29" s="31"/>
      <c r="X29" s="31"/>
      <c r="Y29" s="19">
        <f t="shared" si="20"/>
        <v>0</v>
      </c>
      <c r="Z29" s="31"/>
      <c r="AA29" s="31"/>
      <c r="AB29" s="19">
        <f t="shared" si="21"/>
        <v>0</v>
      </c>
      <c r="AC29" s="31"/>
      <c r="AD29" s="31"/>
      <c r="AE29" s="19">
        <f t="shared" si="22"/>
        <v>0</v>
      </c>
      <c r="AF29" s="31"/>
      <c r="AG29" s="31"/>
      <c r="AH29" s="19">
        <f t="shared" si="23"/>
        <v>0</v>
      </c>
      <c r="AI29" s="37">
        <f t="shared" si="24"/>
        <v>12</v>
      </c>
      <c r="AJ29" s="37">
        <f t="shared" si="25"/>
        <v>12</v>
      </c>
      <c r="AK29" s="38">
        <f t="shared" si="26"/>
        <v>100</v>
      </c>
      <c r="AL29" s="38">
        <f t="shared" si="27"/>
        <v>1200</v>
      </c>
    </row>
    <row r="30" spans="1:38" x14ac:dyDescent="0.3">
      <c r="A30" s="16" t="s">
        <v>158</v>
      </c>
      <c r="B30" s="16" t="s">
        <v>159</v>
      </c>
      <c r="C30" s="16" t="s">
        <v>109</v>
      </c>
      <c r="D30" s="16" t="s">
        <v>102</v>
      </c>
      <c r="E30" s="24">
        <v>0</v>
      </c>
      <c r="F30" s="25">
        <f>'Item Master'!E29</f>
        <v>90</v>
      </c>
      <c r="G30" s="19">
        <f t="shared" si="14"/>
        <v>0</v>
      </c>
      <c r="H30" s="24">
        <v>20</v>
      </c>
      <c r="I30" s="20">
        <v>90</v>
      </c>
      <c r="J30" s="19">
        <f t="shared" si="15"/>
        <v>1800</v>
      </c>
      <c r="K30" s="31"/>
      <c r="L30" s="31"/>
      <c r="M30" s="19">
        <f t="shared" si="16"/>
        <v>0</v>
      </c>
      <c r="N30" s="31"/>
      <c r="O30" s="31"/>
      <c r="P30" s="19">
        <f t="shared" si="17"/>
        <v>0</v>
      </c>
      <c r="Q30" s="31"/>
      <c r="R30" s="31"/>
      <c r="S30" s="19">
        <f t="shared" si="18"/>
        <v>0</v>
      </c>
      <c r="T30" s="31"/>
      <c r="U30" s="31"/>
      <c r="V30" s="19">
        <f t="shared" si="19"/>
        <v>0</v>
      </c>
      <c r="W30" s="31"/>
      <c r="X30" s="31"/>
      <c r="Y30" s="19">
        <f t="shared" si="20"/>
        <v>0</v>
      </c>
      <c r="Z30" s="31"/>
      <c r="AA30" s="31"/>
      <c r="AB30" s="19">
        <f t="shared" si="21"/>
        <v>0</v>
      </c>
      <c r="AC30" s="31"/>
      <c r="AD30" s="31"/>
      <c r="AE30" s="19">
        <f t="shared" si="22"/>
        <v>0</v>
      </c>
      <c r="AF30" s="31"/>
      <c r="AG30" s="31"/>
      <c r="AH30" s="19">
        <f t="shared" si="23"/>
        <v>0</v>
      </c>
      <c r="AI30" s="37">
        <f t="shared" si="24"/>
        <v>20</v>
      </c>
      <c r="AJ30" s="37">
        <f t="shared" si="25"/>
        <v>20</v>
      </c>
      <c r="AK30" s="38">
        <f t="shared" si="26"/>
        <v>90</v>
      </c>
      <c r="AL30" s="38">
        <f t="shared" si="27"/>
        <v>1800</v>
      </c>
    </row>
    <row r="31" spans="1:38" x14ac:dyDescent="0.3">
      <c r="A31" s="16" t="s">
        <v>160</v>
      </c>
      <c r="B31" s="16" t="s">
        <v>161</v>
      </c>
      <c r="C31" s="16" t="s">
        <v>162</v>
      </c>
      <c r="D31" s="16" t="s">
        <v>147</v>
      </c>
      <c r="E31" s="24">
        <v>0</v>
      </c>
      <c r="F31" s="25">
        <f>'Item Master'!E30</f>
        <v>45</v>
      </c>
      <c r="G31" s="19">
        <f t="shared" si="14"/>
        <v>0</v>
      </c>
      <c r="H31" s="24">
        <v>35</v>
      </c>
      <c r="I31" s="20">
        <v>45</v>
      </c>
      <c r="J31" s="19">
        <f t="shared" si="15"/>
        <v>1575</v>
      </c>
      <c r="K31" s="31"/>
      <c r="L31" s="31"/>
      <c r="M31" s="19">
        <f t="shared" si="16"/>
        <v>0</v>
      </c>
      <c r="N31" s="31"/>
      <c r="O31" s="31"/>
      <c r="P31" s="19">
        <f t="shared" si="17"/>
        <v>0</v>
      </c>
      <c r="Q31" s="31"/>
      <c r="R31" s="31"/>
      <c r="S31" s="19">
        <f t="shared" si="18"/>
        <v>0</v>
      </c>
      <c r="T31" s="31"/>
      <c r="U31" s="31"/>
      <c r="V31" s="19">
        <f t="shared" si="19"/>
        <v>0</v>
      </c>
      <c r="W31" s="31"/>
      <c r="X31" s="31"/>
      <c r="Y31" s="19">
        <f t="shared" si="20"/>
        <v>0</v>
      </c>
      <c r="Z31" s="31"/>
      <c r="AA31" s="31"/>
      <c r="AB31" s="19">
        <f t="shared" si="21"/>
        <v>0</v>
      </c>
      <c r="AC31" s="31"/>
      <c r="AD31" s="31"/>
      <c r="AE31" s="19">
        <f t="shared" si="22"/>
        <v>0</v>
      </c>
      <c r="AF31" s="31"/>
      <c r="AG31" s="31"/>
      <c r="AH31" s="19">
        <f t="shared" si="23"/>
        <v>0</v>
      </c>
      <c r="AI31" s="37">
        <f t="shared" si="24"/>
        <v>35</v>
      </c>
      <c r="AJ31" s="37">
        <f t="shared" si="25"/>
        <v>35</v>
      </c>
      <c r="AK31" s="38">
        <f t="shared" si="26"/>
        <v>45</v>
      </c>
      <c r="AL31" s="38">
        <f t="shared" si="27"/>
        <v>1575</v>
      </c>
    </row>
    <row r="32" spans="1:38" x14ac:dyDescent="0.3">
      <c r="A32" s="16" t="s">
        <v>163</v>
      </c>
      <c r="B32" s="16" t="s">
        <v>164</v>
      </c>
      <c r="C32" s="16" t="s">
        <v>165</v>
      </c>
      <c r="D32" s="16" t="s">
        <v>166</v>
      </c>
      <c r="E32" s="24">
        <v>0</v>
      </c>
      <c r="F32" s="25">
        <f>'Item Master'!E31</f>
        <v>35</v>
      </c>
      <c r="G32" s="19">
        <f t="shared" si="14"/>
        <v>0</v>
      </c>
      <c r="H32" s="24">
        <v>220</v>
      </c>
      <c r="I32" s="20">
        <v>35</v>
      </c>
      <c r="J32" s="19">
        <f t="shared" si="15"/>
        <v>7700</v>
      </c>
      <c r="K32" s="31"/>
      <c r="L32" s="31"/>
      <c r="M32" s="19">
        <f t="shared" si="16"/>
        <v>0</v>
      </c>
      <c r="N32" s="31"/>
      <c r="O32" s="31"/>
      <c r="P32" s="19">
        <f t="shared" si="17"/>
        <v>0</v>
      </c>
      <c r="Q32" s="31"/>
      <c r="R32" s="31"/>
      <c r="S32" s="19">
        <f t="shared" si="18"/>
        <v>0</v>
      </c>
      <c r="T32" s="31"/>
      <c r="U32" s="31"/>
      <c r="V32" s="19">
        <f t="shared" si="19"/>
        <v>0</v>
      </c>
      <c r="W32" s="31"/>
      <c r="X32" s="31"/>
      <c r="Y32" s="19">
        <f t="shared" si="20"/>
        <v>0</v>
      </c>
      <c r="Z32" s="31"/>
      <c r="AA32" s="31"/>
      <c r="AB32" s="19">
        <f t="shared" si="21"/>
        <v>0</v>
      </c>
      <c r="AC32" s="31"/>
      <c r="AD32" s="31"/>
      <c r="AE32" s="19">
        <f t="shared" si="22"/>
        <v>0</v>
      </c>
      <c r="AF32" s="31"/>
      <c r="AG32" s="31"/>
      <c r="AH32" s="19">
        <f t="shared" si="23"/>
        <v>0</v>
      </c>
      <c r="AI32" s="37">
        <f t="shared" si="24"/>
        <v>220</v>
      </c>
      <c r="AJ32" s="37">
        <f t="shared" si="25"/>
        <v>220</v>
      </c>
      <c r="AK32" s="38">
        <f t="shared" si="26"/>
        <v>35</v>
      </c>
      <c r="AL32" s="38">
        <f t="shared" si="27"/>
        <v>7700</v>
      </c>
    </row>
    <row r="33" spans="1:38" x14ac:dyDescent="0.3">
      <c r="A33" s="63" t="s">
        <v>167</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row>
    <row r="34" spans="1:38" x14ac:dyDescent="0.3">
      <c r="A34" s="16" t="s">
        <v>168</v>
      </c>
      <c r="B34" s="16" t="s">
        <v>169</v>
      </c>
      <c r="C34" s="16" t="s">
        <v>170</v>
      </c>
      <c r="D34" s="16" t="s">
        <v>117</v>
      </c>
      <c r="E34" s="24">
        <v>0</v>
      </c>
      <c r="F34" s="25">
        <f>'Item Master'!E33</f>
        <v>8</v>
      </c>
      <c r="G34" s="19">
        <f t="shared" ref="G34:G42" si="28">E34*F34</f>
        <v>0</v>
      </c>
      <c r="H34" s="24">
        <v>400</v>
      </c>
      <c r="I34" s="20">
        <v>8</v>
      </c>
      <c r="J34" s="19">
        <f t="shared" ref="J34:J42" si="29">IFERROR(H34*I34,0)</f>
        <v>3200</v>
      </c>
      <c r="K34" s="31"/>
      <c r="L34" s="31"/>
      <c r="M34" s="19">
        <f t="shared" ref="M34:M42" si="30">IFERROR(K34*L34,0)</f>
        <v>0</v>
      </c>
      <c r="N34" s="31"/>
      <c r="O34" s="31"/>
      <c r="P34" s="19">
        <f t="shared" ref="P34:P42" si="31">IFERROR(N34*O34,0)</f>
        <v>0</v>
      </c>
      <c r="Q34" s="31"/>
      <c r="R34" s="31"/>
      <c r="S34" s="19">
        <f t="shared" ref="S34:S42" si="32">IFERROR(Q34*R34,0)</f>
        <v>0</v>
      </c>
      <c r="T34" s="31"/>
      <c r="U34" s="31"/>
      <c r="V34" s="19">
        <f t="shared" ref="V34:V42" si="33">IFERROR(T34*U34,0)</f>
        <v>0</v>
      </c>
      <c r="W34" s="31"/>
      <c r="X34" s="31"/>
      <c r="Y34" s="19">
        <f t="shared" ref="Y34:Y42" si="34">IFERROR(W34*X34,0)</f>
        <v>0</v>
      </c>
      <c r="Z34" s="31"/>
      <c r="AA34" s="31"/>
      <c r="AB34" s="19">
        <f t="shared" ref="AB34:AB42" si="35">IFERROR(Z34*AA34,0)</f>
        <v>0</v>
      </c>
      <c r="AC34" s="31"/>
      <c r="AD34" s="31"/>
      <c r="AE34" s="19">
        <f t="shared" ref="AE34:AE42" si="36">IFERROR(AC34*AD34,0)</f>
        <v>0</v>
      </c>
      <c r="AF34" s="31"/>
      <c r="AG34" s="31"/>
      <c r="AH34" s="19">
        <f t="shared" ref="AH34:AH42" si="37">IFERROR(AF34*AG34,0)</f>
        <v>0</v>
      </c>
      <c r="AI34" s="37">
        <f t="shared" ref="AI34:AI42" si="38">H34+K34+N34+Q34+T34+W34+Z34+AC34+AF34</f>
        <v>400</v>
      </c>
      <c r="AJ34" s="37">
        <f t="shared" ref="AJ34:AJ42" si="39">E34+AI34</f>
        <v>400</v>
      </c>
      <c r="AK34" s="38">
        <f t="shared" ref="AK34:AK42" si="40">IFERROR((G34+J34+M34+P34+S34+V34+Y34+AB34+AE34+AH34)/AJ34,F34)</f>
        <v>8</v>
      </c>
      <c r="AL34" s="38">
        <f t="shared" ref="AL34:AL42" si="41">AJ34*AK34</f>
        <v>3200</v>
      </c>
    </row>
    <row r="35" spans="1:38" x14ac:dyDescent="0.3">
      <c r="A35" s="16" t="s">
        <v>171</v>
      </c>
      <c r="B35" s="16" t="s">
        <v>172</v>
      </c>
      <c r="C35" s="16" t="s">
        <v>170</v>
      </c>
      <c r="D35" s="16" t="s">
        <v>117</v>
      </c>
      <c r="E35" s="24">
        <v>0</v>
      </c>
      <c r="F35" s="25">
        <f>'Item Master'!E34</f>
        <v>15</v>
      </c>
      <c r="G35" s="19">
        <f t="shared" si="28"/>
        <v>0</v>
      </c>
      <c r="H35" s="24">
        <v>300</v>
      </c>
      <c r="I35" s="20">
        <v>15</v>
      </c>
      <c r="J35" s="19">
        <f t="shared" si="29"/>
        <v>4500</v>
      </c>
      <c r="K35" s="31"/>
      <c r="L35" s="31"/>
      <c r="M35" s="19">
        <f t="shared" si="30"/>
        <v>0</v>
      </c>
      <c r="N35" s="31"/>
      <c r="O35" s="31"/>
      <c r="P35" s="19">
        <f t="shared" si="31"/>
        <v>0</v>
      </c>
      <c r="Q35" s="31"/>
      <c r="R35" s="31"/>
      <c r="S35" s="19">
        <f t="shared" si="32"/>
        <v>0</v>
      </c>
      <c r="T35" s="31"/>
      <c r="U35" s="31"/>
      <c r="V35" s="19">
        <f t="shared" si="33"/>
        <v>0</v>
      </c>
      <c r="W35" s="31"/>
      <c r="X35" s="31"/>
      <c r="Y35" s="19">
        <f t="shared" si="34"/>
        <v>0</v>
      </c>
      <c r="Z35" s="31"/>
      <c r="AA35" s="31"/>
      <c r="AB35" s="19">
        <f t="shared" si="35"/>
        <v>0</v>
      </c>
      <c r="AC35" s="31"/>
      <c r="AD35" s="31"/>
      <c r="AE35" s="19">
        <f t="shared" si="36"/>
        <v>0</v>
      </c>
      <c r="AF35" s="31"/>
      <c r="AG35" s="31"/>
      <c r="AH35" s="19">
        <f t="shared" si="37"/>
        <v>0</v>
      </c>
      <c r="AI35" s="37">
        <f t="shared" si="38"/>
        <v>300</v>
      </c>
      <c r="AJ35" s="37">
        <f t="shared" si="39"/>
        <v>300</v>
      </c>
      <c r="AK35" s="38">
        <f t="shared" si="40"/>
        <v>15</v>
      </c>
      <c r="AL35" s="38">
        <f t="shared" si="41"/>
        <v>4500</v>
      </c>
    </row>
    <row r="36" spans="1:38" x14ac:dyDescent="0.3">
      <c r="A36" s="16" t="s">
        <v>173</v>
      </c>
      <c r="B36" s="16" t="s">
        <v>174</v>
      </c>
      <c r="C36" s="16" t="s">
        <v>175</v>
      </c>
      <c r="D36" s="16" t="s">
        <v>117</v>
      </c>
      <c r="E36" s="24">
        <v>0</v>
      </c>
      <c r="F36" s="25">
        <f>'Item Master'!E35</f>
        <v>1</v>
      </c>
      <c r="G36" s="19">
        <f t="shared" si="28"/>
        <v>0</v>
      </c>
      <c r="H36" s="31"/>
      <c r="I36" s="31"/>
      <c r="J36" s="19">
        <f t="shared" si="29"/>
        <v>0</v>
      </c>
      <c r="K36" s="31"/>
      <c r="L36" s="31"/>
      <c r="M36" s="19">
        <f t="shared" si="30"/>
        <v>0</v>
      </c>
      <c r="N36" s="31"/>
      <c r="O36" s="31"/>
      <c r="P36" s="19">
        <f t="shared" si="31"/>
        <v>0</v>
      </c>
      <c r="Q36" s="31"/>
      <c r="R36" s="31"/>
      <c r="S36" s="19">
        <f t="shared" si="32"/>
        <v>0</v>
      </c>
      <c r="T36" s="31"/>
      <c r="U36" s="31"/>
      <c r="V36" s="19">
        <f t="shared" si="33"/>
        <v>0</v>
      </c>
      <c r="W36" s="31"/>
      <c r="X36" s="31"/>
      <c r="Y36" s="19">
        <f t="shared" si="34"/>
        <v>0</v>
      </c>
      <c r="Z36" s="31"/>
      <c r="AA36" s="31"/>
      <c r="AB36" s="19">
        <f t="shared" si="35"/>
        <v>0</v>
      </c>
      <c r="AC36" s="31"/>
      <c r="AD36" s="31"/>
      <c r="AE36" s="19">
        <f t="shared" si="36"/>
        <v>0</v>
      </c>
      <c r="AF36" s="31"/>
      <c r="AG36" s="31"/>
      <c r="AH36" s="19">
        <f t="shared" si="37"/>
        <v>0</v>
      </c>
      <c r="AI36" s="37">
        <f t="shared" si="38"/>
        <v>0</v>
      </c>
      <c r="AJ36" s="37">
        <f t="shared" si="39"/>
        <v>0</v>
      </c>
      <c r="AK36" s="38">
        <f t="shared" si="40"/>
        <v>1</v>
      </c>
      <c r="AL36" s="38">
        <f t="shared" si="41"/>
        <v>0</v>
      </c>
    </row>
    <row r="37" spans="1:38" x14ac:dyDescent="0.3">
      <c r="A37" s="16" t="s">
        <v>176</v>
      </c>
      <c r="B37" s="16" t="s">
        <v>177</v>
      </c>
      <c r="C37" s="16" t="s">
        <v>175</v>
      </c>
      <c r="D37" s="16" t="s">
        <v>117</v>
      </c>
      <c r="E37" s="24">
        <v>0</v>
      </c>
      <c r="F37" s="25">
        <f>'Item Master'!E36</f>
        <v>1</v>
      </c>
      <c r="G37" s="19">
        <f t="shared" si="28"/>
        <v>0</v>
      </c>
      <c r="H37" s="31"/>
      <c r="I37" s="31"/>
      <c r="J37" s="19">
        <f t="shared" si="29"/>
        <v>0</v>
      </c>
      <c r="K37" s="31"/>
      <c r="L37" s="31"/>
      <c r="M37" s="19">
        <f t="shared" si="30"/>
        <v>0</v>
      </c>
      <c r="N37" s="31"/>
      <c r="O37" s="31"/>
      <c r="P37" s="19">
        <f t="shared" si="31"/>
        <v>0</v>
      </c>
      <c r="Q37" s="31"/>
      <c r="R37" s="31"/>
      <c r="S37" s="19">
        <f t="shared" si="32"/>
        <v>0</v>
      </c>
      <c r="T37" s="31"/>
      <c r="U37" s="31"/>
      <c r="V37" s="19">
        <f t="shared" si="33"/>
        <v>0</v>
      </c>
      <c r="W37" s="31"/>
      <c r="X37" s="31"/>
      <c r="Y37" s="19">
        <f t="shared" si="34"/>
        <v>0</v>
      </c>
      <c r="Z37" s="31"/>
      <c r="AA37" s="31"/>
      <c r="AB37" s="19">
        <f t="shared" si="35"/>
        <v>0</v>
      </c>
      <c r="AC37" s="31"/>
      <c r="AD37" s="31"/>
      <c r="AE37" s="19">
        <f t="shared" si="36"/>
        <v>0</v>
      </c>
      <c r="AF37" s="31"/>
      <c r="AG37" s="31"/>
      <c r="AH37" s="19">
        <f t="shared" si="37"/>
        <v>0</v>
      </c>
      <c r="AI37" s="37">
        <f t="shared" si="38"/>
        <v>0</v>
      </c>
      <c r="AJ37" s="37">
        <f t="shared" si="39"/>
        <v>0</v>
      </c>
      <c r="AK37" s="38">
        <f t="shared" si="40"/>
        <v>1</v>
      </c>
      <c r="AL37" s="38">
        <f t="shared" si="41"/>
        <v>0</v>
      </c>
    </row>
    <row r="38" spans="1:38" x14ac:dyDescent="0.3">
      <c r="A38" s="16" t="s">
        <v>178</v>
      </c>
      <c r="B38" s="16" t="s">
        <v>179</v>
      </c>
      <c r="C38" s="16" t="s">
        <v>180</v>
      </c>
      <c r="D38" s="16" t="s">
        <v>102</v>
      </c>
      <c r="E38" s="24">
        <v>0</v>
      </c>
      <c r="F38" s="25">
        <f>'Item Master'!E37</f>
        <v>60</v>
      </c>
      <c r="G38" s="19">
        <f t="shared" si="28"/>
        <v>0</v>
      </c>
      <c r="H38" s="24">
        <v>45</v>
      </c>
      <c r="I38" s="20">
        <v>60</v>
      </c>
      <c r="J38" s="19">
        <f t="shared" si="29"/>
        <v>2700</v>
      </c>
      <c r="K38" s="31"/>
      <c r="L38" s="31"/>
      <c r="M38" s="19">
        <f t="shared" si="30"/>
        <v>0</v>
      </c>
      <c r="N38" s="31"/>
      <c r="O38" s="31"/>
      <c r="P38" s="19">
        <f t="shared" si="31"/>
        <v>0</v>
      </c>
      <c r="Q38" s="31"/>
      <c r="R38" s="31"/>
      <c r="S38" s="19">
        <f t="shared" si="32"/>
        <v>0</v>
      </c>
      <c r="T38" s="31"/>
      <c r="U38" s="31"/>
      <c r="V38" s="19">
        <f t="shared" si="33"/>
        <v>0</v>
      </c>
      <c r="W38" s="31"/>
      <c r="X38" s="31"/>
      <c r="Y38" s="19">
        <f t="shared" si="34"/>
        <v>0</v>
      </c>
      <c r="Z38" s="31"/>
      <c r="AA38" s="31"/>
      <c r="AB38" s="19">
        <f t="shared" si="35"/>
        <v>0</v>
      </c>
      <c r="AC38" s="31"/>
      <c r="AD38" s="31"/>
      <c r="AE38" s="19">
        <f t="shared" si="36"/>
        <v>0</v>
      </c>
      <c r="AF38" s="31"/>
      <c r="AG38" s="31"/>
      <c r="AH38" s="19">
        <f t="shared" si="37"/>
        <v>0</v>
      </c>
      <c r="AI38" s="37">
        <f t="shared" si="38"/>
        <v>45</v>
      </c>
      <c r="AJ38" s="37">
        <f t="shared" si="39"/>
        <v>45</v>
      </c>
      <c r="AK38" s="38">
        <f t="shared" si="40"/>
        <v>60</v>
      </c>
      <c r="AL38" s="38">
        <f t="shared" si="41"/>
        <v>2700</v>
      </c>
    </row>
    <row r="39" spans="1:38" x14ac:dyDescent="0.3">
      <c r="A39" s="16" t="s">
        <v>181</v>
      </c>
      <c r="B39" s="16" t="s">
        <v>182</v>
      </c>
      <c r="C39" s="16" t="s">
        <v>180</v>
      </c>
      <c r="D39" s="16" t="s">
        <v>102</v>
      </c>
      <c r="E39" s="24">
        <v>0</v>
      </c>
      <c r="F39" s="25">
        <f>'Item Master'!E38</f>
        <v>25</v>
      </c>
      <c r="G39" s="19">
        <f t="shared" si="28"/>
        <v>0</v>
      </c>
      <c r="H39" s="31"/>
      <c r="I39" s="31"/>
      <c r="J39" s="19">
        <f t="shared" si="29"/>
        <v>0</v>
      </c>
      <c r="K39" s="31"/>
      <c r="L39" s="31"/>
      <c r="M39" s="19">
        <f t="shared" si="30"/>
        <v>0</v>
      </c>
      <c r="N39" s="31"/>
      <c r="O39" s="31"/>
      <c r="P39" s="19">
        <f t="shared" si="31"/>
        <v>0</v>
      </c>
      <c r="Q39" s="31"/>
      <c r="R39" s="31"/>
      <c r="S39" s="19">
        <f t="shared" si="32"/>
        <v>0</v>
      </c>
      <c r="T39" s="31"/>
      <c r="U39" s="31"/>
      <c r="V39" s="19">
        <f t="shared" si="33"/>
        <v>0</v>
      </c>
      <c r="W39" s="31"/>
      <c r="X39" s="31"/>
      <c r="Y39" s="19">
        <f t="shared" si="34"/>
        <v>0</v>
      </c>
      <c r="Z39" s="31"/>
      <c r="AA39" s="31"/>
      <c r="AB39" s="19">
        <f t="shared" si="35"/>
        <v>0</v>
      </c>
      <c r="AC39" s="31"/>
      <c r="AD39" s="31"/>
      <c r="AE39" s="19">
        <f t="shared" si="36"/>
        <v>0</v>
      </c>
      <c r="AF39" s="31"/>
      <c r="AG39" s="31"/>
      <c r="AH39" s="19">
        <f t="shared" si="37"/>
        <v>0</v>
      </c>
      <c r="AI39" s="37">
        <f t="shared" si="38"/>
        <v>0</v>
      </c>
      <c r="AJ39" s="37">
        <f t="shared" si="39"/>
        <v>0</v>
      </c>
      <c r="AK39" s="38">
        <f t="shared" si="40"/>
        <v>25</v>
      </c>
      <c r="AL39" s="38">
        <f t="shared" si="41"/>
        <v>0</v>
      </c>
    </row>
    <row r="40" spans="1:38" x14ac:dyDescent="0.3">
      <c r="A40" s="16" t="s">
        <v>183</v>
      </c>
      <c r="B40" s="16" t="s">
        <v>184</v>
      </c>
      <c r="C40" s="16" t="s">
        <v>180</v>
      </c>
      <c r="D40" s="16" t="s">
        <v>147</v>
      </c>
      <c r="E40" s="24">
        <v>0</v>
      </c>
      <c r="F40" s="25">
        <f>'Item Master'!E39</f>
        <v>150</v>
      </c>
      <c r="G40" s="19">
        <f t="shared" si="28"/>
        <v>0</v>
      </c>
      <c r="H40" s="24">
        <v>45</v>
      </c>
      <c r="I40" s="20">
        <v>150</v>
      </c>
      <c r="J40" s="19">
        <f t="shared" si="29"/>
        <v>6750</v>
      </c>
      <c r="K40" s="31"/>
      <c r="L40" s="31"/>
      <c r="M40" s="19">
        <f t="shared" si="30"/>
        <v>0</v>
      </c>
      <c r="N40" s="31"/>
      <c r="O40" s="31"/>
      <c r="P40" s="19">
        <f t="shared" si="31"/>
        <v>0</v>
      </c>
      <c r="Q40" s="31"/>
      <c r="R40" s="31"/>
      <c r="S40" s="19">
        <f t="shared" si="32"/>
        <v>0</v>
      </c>
      <c r="T40" s="31"/>
      <c r="U40" s="31"/>
      <c r="V40" s="19">
        <f t="shared" si="33"/>
        <v>0</v>
      </c>
      <c r="W40" s="31"/>
      <c r="X40" s="31"/>
      <c r="Y40" s="19">
        <f t="shared" si="34"/>
        <v>0</v>
      </c>
      <c r="Z40" s="31"/>
      <c r="AA40" s="31"/>
      <c r="AB40" s="19">
        <f t="shared" si="35"/>
        <v>0</v>
      </c>
      <c r="AC40" s="31"/>
      <c r="AD40" s="31"/>
      <c r="AE40" s="19">
        <f t="shared" si="36"/>
        <v>0</v>
      </c>
      <c r="AF40" s="31"/>
      <c r="AG40" s="31"/>
      <c r="AH40" s="19">
        <f t="shared" si="37"/>
        <v>0</v>
      </c>
      <c r="AI40" s="37">
        <f t="shared" si="38"/>
        <v>45</v>
      </c>
      <c r="AJ40" s="37">
        <f t="shared" si="39"/>
        <v>45</v>
      </c>
      <c r="AK40" s="38">
        <f t="shared" si="40"/>
        <v>150</v>
      </c>
      <c r="AL40" s="38">
        <f t="shared" si="41"/>
        <v>6750</v>
      </c>
    </row>
    <row r="41" spans="1:38" x14ac:dyDescent="0.3">
      <c r="A41" s="16" t="s">
        <v>185</v>
      </c>
      <c r="B41" s="16" t="s">
        <v>186</v>
      </c>
      <c r="C41" s="16" t="s">
        <v>180</v>
      </c>
      <c r="D41" s="16" t="s">
        <v>102</v>
      </c>
      <c r="E41" s="24">
        <v>0</v>
      </c>
      <c r="F41" s="25">
        <f>'Item Master'!E40</f>
        <v>400</v>
      </c>
      <c r="G41" s="19">
        <f t="shared" si="28"/>
        <v>0</v>
      </c>
      <c r="H41" s="24">
        <v>12</v>
      </c>
      <c r="I41" s="20">
        <v>400</v>
      </c>
      <c r="J41" s="19">
        <f t="shared" si="29"/>
        <v>4800</v>
      </c>
      <c r="K41" s="31"/>
      <c r="L41" s="31"/>
      <c r="M41" s="19">
        <f t="shared" si="30"/>
        <v>0</v>
      </c>
      <c r="N41" s="31"/>
      <c r="O41" s="31"/>
      <c r="P41" s="19">
        <f t="shared" si="31"/>
        <v>0</v>
      </c>
      <c r="Q41" s="31"/>
      <c r="R41" s="31"/>
      <c r="S41" s="19">
        <f t="shared" si="32"/>
        <v>0</v>
      </c>
      <c r="T41" s="31"/>
      <c r="U41" s="31"/>
      <c r="V41" s="19">
        <f t="shared" si="33"/>
        <v>0</v>
      </c>
      <c r="W41" s="31"/>
      <c r="X41" s="31"/>
      <c r="Y41" s="19">
        <f t="shared" si="34"/>
        <v>0</v>
      </c>
      <c r="Z41" s="31"/>
      <c r="AA41" s="31"/>
      <c r="AB41" s="19">
        <f t="shared" si="35"/>
        <v>0</v>
      </c>
      <c r="AC41" s="31"/>
      <c r="AD41" s="31"/>
      <c r="AE41" s="19">
        <f t="shared" si="36"/>
        <v>0</v>
      </c>
      <c r="AF41" s="31"/>
      <c r="AG41" s="31"/>
      <c r="AH41" s="19">
        <f t="shared" si="37"/>
        <v>0</v>
      </c>
      <c r="AI41" s="37">
        <f t="shared" si="38"/>
        <v>12</v>
      </c>
      <c r="AJ41" s="37">
        <f t="shared" si="39"/>
        <v>12</v>
      </c>
      <c r="AK41" s="38">
        <f t="shared" si="40"/>
        <v>400</v>
      </c>
      <c r="AL41" s="38">
        <f t="shared" si="41"/>
        <v>4800</v>
      </c>
    </row>
    <row r="42" spans="1:38" x14ac:dyDescent="0.3">
      <c r="A42" s="16" t="s">
        <v>187</v>
      </c>
      <c r="B42" s="16" t="s">
        <v>188</v>
      </c>
      <c r="C42" s="16" t="s">
        <v>180</v>
      </c>
      <c r="D42" s="16" t="s">
        <v>102</v>
      </c>
      <c r="E42" s="24">
        <v>0</v>
      </c>
      <c r="F42" s="25">
        <f>'Item Master'!E41</f>
        <v>500</v>
      </c>
      <c r="G42" s="19">
        <f t="shared" si="28"/>
        <v>0</v>
      </c>
      <c r="H42" s="31"/>
      <c r="I42" s="31"/>
      <c r="J42" s="19">
        <f t="shared" si="29"/>
        <v>0</v>
      </c>
      <c r="K42" s="31"/>
      <c r="L42" s="31"/>
      <c r="M42" s="19">
        <f t="shared" si="30"/>
        <v>0</v>
      </c>
      <c r="N42" s="31"/>
      <c r="O42" s="31"/>
      <c r="P42" s="19">
        <f t="shared" si="31"/>
        <v>0</v>
      </c>
      <c r="Q42" s="31"/>
      <c r="R42" s="31"/>
      <c r="S42" s="19">
        <f t="shared" si="32"/>
        <v>0</v>
      </c>
      <c r="T42" s="31"/>
      <c r="U42" s="31"/>
      <c r="V42" s="19">
        <f t="shared" si="33"/>
        <v>0</v>
      </c>
      <c r="W42" s="31"/>
      <c r="X42" s="31"/>
      <c r="Y42" s="19">
        <f t="shared" si="34"/>
        <v>0</v>
      </c>
      <c r="Z42" s="31"/>
      <c r="AA42" s="31"/>
      <c r="AB42" s="19">
        <f t="shared" si="35"/>
        <v>0</v>
      </c>
      <c r="AC42" s="31"/>
      <c r="AD42" s="31"/>
      <c r="AE42" s="19">
        <f t="shared" si="36"/>
        <v>0</v>
      </c>
      <c r="AF42" s="31"/>
      <c r="AG42" s="31"/>
      <c r="AH42" s="19">
        <f t="shared" si="37"/>
        <v>0</v>
      </c>
      <c r="AI42" s="37">
        <f t="shared" si="38"/>
        <v>0</v>
      </c>
      <c r="AJ42" s="37">
        <f t="shared" si="39"/>
        <v>0</v>
      </c>
      <c r="AK42" s="38">
        <f t="shared" si="40"/>
        <v>500</v>
      </c>
      <c r="AL42" s="38">
        <f t="shared" si="41"/>
        <v>0</v>
      </c>
    </row>
  </sheetData>
  <mergeCells count="14">
    <mergeCell ref="AF3:AH3"/>
    <mergeCell ref="A5:AL5"/>
    <mergeCell ref="A21:AL21"/>
    <mergeCell ref="A33:AL33"/>
    <mergeCell ref="Q3:S3"/>
    <mergeCell ref="T3:V3"/>
    <mergeCell ref="W3:Y3"/>
    <mergeCell ref="Z3:AB3"/>
    <mergeCell ref="AC3:AE3"/>
    <mergeCell ref="A1:J1"/>
    <mergeCell ref="A2:J2"/>
    <mergeCell ref="H3:J3"/>
    <mergeCell ref="K3:M3"/>
    <mergeCell ref="N3:P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971C"/>
  </sheetPr>
  <dimension ref="A1:L41"/>
  <sheetViews>
    <sheetView showGridLines="0" zoomScaleNormal="100" workbookViewId="0">
      <pane ySplit="3" topLeftCell="A4" activePane="bottomLeft" state="frozen"/>
      <selection pane="bottomLeft" sqref="A1:K1"/>
    </sheetView>
  </sheetViews>
  <sheetFormatPr defaultColWidth="8.6640625" defaultRowHeight="14.4" x14ac:dyDescent="0.3"/>
  <cols>
    <col min="1" max="1" width="11" customWidth="1"/>
    <col min="2" max="2" width="26" customWidth="1"/>
    <col min="3" max="3" width="18" customWidth="1"/>
    <col min="4" max="4" width="8" customWidth="1"/>
    <col min="5" max="5" width="13" customWidth="1"/>
    <col min="6" max="6" width="12" customWidth="1"/>
    <col min="7" max="7" width="13" customWidth="1"/>
    <col min="8" max="9" width="12" customWidth="1"/>
    <col min="10" max="10" width="15" customWidth="1"/>
    <col min="11" max="11" width="14" customWidth="1"/>
    <col min="12" max="12" width="12" customWidth="1"/>
  </cols>
  <sheetData>
    <row r="1" spans="1:12" ht="25.5" customHeight="1" x14ac:dyDescent="0.3">
      <c r="A1" s="14" t="s">
        <v>477</v>
      </c>
      <c r="B1" s="14"/>
      <c r="C1" s="14"/>
      <c r="D1" s="14"/>
      <c r="E1" s="14"/>
      <c r="F1" s="14"/>
      <c r="G1" s="14"/>
      <c r="H1" s="14"/>
      <c r="I1" s="14"/>
      <c r="J1" s="14"/>
      <c r="K1" s="14"/>
    </row>
    <row r="2" spans="1:12" x14ac:dyDescent="0.3">
      <c r="A2" s="13" t="s">
        <v>478</v>
      </c>
      <c r="B2" s="13"/>
      <c r="C2" s="13"/>
      <c r="D2" s="13"/>
      <c r="E2" s="13"/>
      <c r="F2" s="13"/>
      <c r="G2" s="13"/>
      <c r="H2" s="13"/>
      <c r="I2" s="13"/>
      <c r="J2" s="13"/>
      <c r="K2" s="13"/>
    </row>
    <row r="3" spans="1:12" ht="30" customHeight="1" x14ac:dyDescent="0.3">
      <c r="A3" s="15" t="s">
        <v>93</v>
      </c>
      <c r="B3" s="15" t="s">
        <v>94</v>
      </c>
      <c r="C3" s="15" t="s">
        <v>95</v>
      </c>
      <c r="D3" s="15" t="s">
        <v>96</v>
      </c>
      <c r="E3" s="15" t="s">
        <v>479</v>
      </c>
      <c r="F3" s="15" t="s">
        <v>480</v>
      </c>
      <c r="G3" s="15" t="s">
        <v>481</v>
      </c>
      <c r="H3" s="15" t="s">
        <v>482</v>
      </c>
      <c r="I3" s="15" t="s">
        <v>483</v>
      </c>
      <c r="J3" s="15" t="s">
        <v>484</v>
      </c>
      <c r="K3" s="15" t="s">
        <v>485</v>
      </c>
      <c r="L3" s="21" t="s">
        <v>486</v>
      </c>
    </row>
    <row r="4" spans="1:12" x14ac:dyDescent="0.3">
      <c r="A4" s="63" t="s">
        <v>98</v>
      </c>
      <c r="B4" s="63"/>
      <c r="C4" s="63"/>
      <c r="D4" s="63"/>
      <c r="E4" s="63"/>
      <c r="F4" s="63"/>
      <c r="G4" s="63"/>
      <c r="H4" s="63"/>
      <c r="I4" s="63"/>
      <c r="J4" s="63"/>
      <c r="K4" s="63"/>
    </row>
    <row r="5" spans="1:12" x14ac:dyDescent="0.3">
      <c r="A5" s="16" t="s">
        <v>99</v>
      </c>
      <c r="B5" s="16" t="s">
        <v>100</v>
      </c>
      <c r="C5" s="16" t="s">
        <v>101</v>
      </c>
      <c r="D5" s="16" t="s">
        <v>102</v>
      </c>
      <c r="E5" s="26">
        <f>'Store Receiving'!AJ6</f>
        <v>85</v>
      </c>
      <c r="F5" s="25">
        <f>'Store Receiving'!AK6</f>
        <v>557.35294117647061</v>
      </c>
      <c r="G5" s="19">
        <f t="shared" ref="G5:G19" si="0">E5*F5</f>
        <v>47375</v>
      </c>
      <c r="H5" s="24">
        <v>8</v>
      </c>
      <c r="I5" s="24">
        <v>25</v>
      </c>
      <c r="J5" s="39" t="str">
        <f t="shared" ref="J5:J19" si="1">IF(E5&lt;H5,"REORDER NOW",IF(E5&gt;I5,"OVERSTOCK","OK"))</f>
        <v>OVERSTOCK</v>
      </c>
      <c r="K5" s="40">
        <f>IFERROR(E5/(SUMIF('Store Issue'!$A$5:$A$5,A5,'Store Issue'!$P$5:$P$5)/30),0)</f>
        <v>0</v>
      </c>
      <c r="L5" s="22" t="str">
        <f>IF(J5="REORDER NOW",COUNTIF($J$4:J5,"REORDER NOW"),"")</f>
        <v/>
      </c>
    </row>
    <row r="6" spans="1:12" x14ac:dyDescent="0.3">
      <c r="A6" s="16" t="s">
        <v>103</v>
      </c>
      <c r="B6" s="16" t="s">
        <v>104</v>
      </c>
      <c r="C6" s="16" t="s">
        <v>101</v>
      </c>
      <c r="D6" s="16" t="s">
        <v>102</v>
      </c>
      <c r="E6" s="26">
        <f>'Store Receiving'!AJ7</f>
        <v>75</v>
      </c>
      <c r="F6" s="25">
        <f>'Store Receiving'!AK7</f>
        <v>482.66666666666669</v>
      </c>
      <c r="G6" s="19">
        <f t="shared" si="0"/>
        <v>36200</v>
      </c>
      <c r="H6" s="24">
        <v>8</v>
      </c>
      <c r="I6" s="24">
        <v>25</v>
      </c>
      <c r="J6" s="39" t="str">
        <f t="shared" si="1"/>
        <v>OVERSTOCK</v>
      </c>
      <c r="K6" s="40">
        <f>IFERROR(E6/(SUMIF('Store Issue'!$A$5:$A$6,A6,'Store Issue'!$P$5:$P$6)/30),0)</f>
        <v>0</v>
      </c>
      <c r="L6" s="22" t="str">
        <f>IF(J6="REORDER NOW",COUNTIF($J$4:J6,"REORDER NOW"),"")</f>
        <v/>
      </c>
    </row>
    <row r="7" spans="1:12" x14ac:dyDescent="0.3">
      <c r="A7" s="16" t="s">
        <v>105</v>
      </c>
      <c r="B7" s="16" t="s">
        <v>106</v>
      </c>
      <c r="C7" s="16" t="s">
        <v>101</v>
      </c>
      <c r="D7" s="16" t="s">
        <v>102</v>
      </c>
      <c r="E7" s="26">
        <f>'Store Receiving'!AJ8</f>
        <v>20</v>
      </c>
      <c r="F7" s="25">
        <f>'Store Receiving'!AK8</f>
        <v>650</v>
      </c>
      <c r="G7" s="19">
        <f t="shared" si="0"/>
        <v>13000</v>
      </c>
      <c r="H7" s="24">
        <v>5</v>
      </c>
      <c r="I7" s="24">
        <v>15</v>
      </c>
      <c r="J7" s="39" t="str">
        <f t="shared" si="1"/>
        <v>OVERSTOCK</v>
      </c>
      <c r="K7" s="40">
        <f>IFERROR(E7/(SUMIF('Store Issue'!$A$5:$A$7,A7,'Store Issue'!$P$5:$P$7)/30),0)</f>
        <v>0</v>
      </c>
      <c r="L7" s="22" t="str">
        <f>IF(J7="REORDER NOW",COUNTIF($J$4:J7,"REORDER NOW"),"")</f>
        <v/>
      </c>
    </row>
    <row r="8" spans="1:12" x14ac:dyDescent="0.3">
      <c r="A8" s="16" t="s">
        <v>107</v>
      </c>
      <c r="B8" s="16" t="s">
        <v>108</v>
      </c>
      <c r="C8" s="16" t="s">
        <v>109</v>
      </c>
      <c r="D8" s="16" t="s">
        <v>102</v>
      </c>
      <c r="E8" s="26">
        <f>'Store Receiving'!AJ9</f>
        <v>50</v>
      </c>
      <c r="F8" s="25">
        <f>'Store Receiving'!AK9</f>
        <v>60</v>
      </c>
      <c r="G8" s="19">
        <f t="shared" si="0"/>
        <v>3000</v>
      </c>
      <c r="H8" s="24">
        <v>5</v>
      </c>
      <c r="I8" s="24">
        <v>15</v>
      </c>
      <c r="J8" s="39" t="str">
        <f t="shared" si="1"/>
        <v>OVERSTOCK</v>
      </c>
      <c r="K8" s="40">
        <f>IFERROR(E8/(SUMIF('Store Issue'!$A$5:$A$8,A8,'Store Issue'!$P$5:$P$8)/30),0)</f>
        <v>0</v>
      </c>
      <c r="L8" s="22" t="str">
        <f>IF(J8="REORDER NOW",COUNTIF($J$4:J8,"REORDER NOW"),"")</f>
        <v/>
      </c>
    </row>
    <row r="9" spans="1:12" x14ac:dyDescent="0.3">
      <c r="A9" s="16" t="s">
        <v>110</v>
      </c>
      <c r="B9" s="16" t="s">
        <v>111</v>
      </c>
      <c r="C9" s="16" t="s">
        <v>109</v>
      </c>
      <c r="D9" s="16" t="s">
        <v>102</v>
      </c>
      <c r="E9" s="26">
        <f>'Store Receiving'!AJ10</f>
        <v>50</v>
      </c>
      <c r="F9" s="25">
        <f>'Store Receiving'!AK10</f>
        <v>56</v>
      </c>
      <c r="G9" s="19">
        <f t="shared" si="0"/>
        <v>2800</v>
      </c>
      <c r="H9" s="24">
        <v>5</v>
      </c>
      <c r="I9" s="24">
        <v>15</v>
      </c>
      <c r="J9" s="39" t="str">
        <f t="shared" si="1"/>
        <v>OVERSTOCK</v>
      </c>
      <c r="K9" s="40">
        <f>IFERROR(E9/(SUMIF('Store Issue'!$A$5:$A$9,A9,'Store Issue'!$P$5:$P$9)/30),0)</f>
        <v>0</v>
      </c>
      <c r="L9" s="22" t="str">
        <f>IF(J9="REORDER NOW",COUNTIF($J$4:J9,"REORDER NOW"),"")</f>
        <v/>
      </c>
    </row>
    <row r="10" spans="1:12" x14ac:dyDescent="0.3">
      <c r="A10" s="16" t="s">
        <v>112</v>
      </c>
      <c r="B10" s="16" t="s">
        <v>113</v>
      </c>
      <c r="C10" s="16" t="s">
        <v>109</v>
      </c>
      <c r="D10" s="16" t="s">
        <v>102</v>
      </c>
      <c r="E10" s="26">
        <f>'Store Receiving'!AJ11</f>
        <v>25</v>
      </c>
      <c r="F10" s="25">
        <f>'Store Receiving'!AK11</f>
        <v>40</v>
      </c>
      <c r="G10" s="19">
        <f t="shared" si="0"/>
        <v>1000</v>
      </c>
      <c r="H10" s="24">
        <v>5</v>
      </c>
      <c r="I10" s="24">
        <v>15</v>
      </c>
      <c r="J10" s="39" t="str">
        <f t="shared" si="1"/>
        <v>OVERSTOCK</v>
      </c>
      <c r="K10" s="40">
        <f>IFERROR(E10/(SUMIF('Store Issue'!$A$5:$A$10,A10,'Store Issue'!$P$5:$P$10)/30),0)</f>
        <v>0</v>
      </c>
      <c r="L10" s="22" t="str">
        <f>IF(J10="REORDER NOW",COUNTIF($J$4:J10,"REORDER NOW"),"")</f>
        <v/>
      </c>
    </row>
    <row r="11" spans="1:12" x14ac:dyDescent="0.3">
      <c r="A11" s="16" t="s">
        <v>114</v>
      </c>
      <c r="B11" s="16" t="s">
        <v>115</v>
      </c>
      <c r="C11" s="16" t="s">
        <v>116</v>
      </c>
      <c r="D11" s="16" t="s">
        <v>117</v>
      </c>
      <c r="E11" s="26">
        <f>'Store Receiving'!AJ12</f>
        <v>150</v>
      </c>
      <c r="F11" s="25">
        <f>'Store Receiving'!AK12</f>
        <v>12</v>
      </c>
      <c r="G11" s="19">
        <f t="shared" si="0"/>
        <v>1800</v>
      </c>
      <c r="H11" s="24">
        <v>20</v>
      </c>
      <c r="I11" s="24">
        <v>80</v>
      </c>
      <c r="J11" s="39" t="str">
        <f t="shared" si="1"/>
        <v>OVERSTOCK</v>
      </c>
      <c r="K11" s="40">
        <f>IFERROR(E11/(SUMIF('Store Issue'!$A$5:$A$11,A11,'Store Issue'!$P$5:$P$11)/30),0)</f>
        <v>0</v>
      </c>
      <c r="L11" s="22" t="str">
        <f>IF(J11="REORDER NOW",COUNTIF($J$4:J11,"REORDER NOW"),"")</f>
        <v/>
      </c>
    </row>
    <row r="12" spans="1:12" x14ac:dyDescent="0.3">
      <c r="A12" s="16" t="s">
        <v>118</v>
      </c>
      <c r="B12" s="16" t="s">
        <v>119</v>
      </c>
      <c r="C12" s="16" t="s">
        <v>120</v>
      </c>
      <c r="D12" s="16" t="s">
        <v>102</v>
      </c>
      <c r="E12" s="26">
        <f>'Store Receiving'!AJ13</f>
        <v>60</v>
      </c>
      <c r="F12" s="25">
        <f>'Store Receiving'!AK13</f>
        <v>55</v>
      </c>
      <c r="G12" s="19">
        <f t="shared" si="0"/>
        <v>3300</v>
      </c>
      <c r="H12" s="24">
        <v>10</v>
      </c>
      <c r="I12" s="24">
        <v>30</v>
      </c>
      <c r="J12" s="39" t="str">
        <f t="shared" si="1"/>
        <v>OVERSTOCK</v>
      </c>
      <c r="K12" s="40">
        <f>IFERROR(E12/(SUMIF('Store Issue'!$A$5:$A$12,A12,'Store Issue'!$P$5:$P$12)/30),0)</f>
        <v>0</v>
      </c>
      <c r="L12" s="22" t="str">
        <f>IF(J12="REORDER NOW",COUNTIF($J$4:J12,"REORDER NOW"),"")</f>
        <v/>
      </c>
    </row>
    <row r="13" spans="1:12" x14ac:dyDescent="0.3">
      <c r="A13" s="16" t="s">
        <v>121</v>
      </c>
      <c r="B13" s="16" t="s">
        <v>122</v>
      </c>
      <c r="C13" s="16" t="s">
        <v>116</v>
      </c>
      <c r="D13" s="16" t="s">
        <v>102</v>
      </c>
      <c r="E13" s="26">
        <f>'Store Receiving'!AJ14</f>
        <v>20</v>
      </c>
      <c r="F13" s="25">
        <f>'Store Receiving'!AK14</f>
        <v>480</v>
      </c>
      <c r="G13" s="19">
        <f t="shared" si="0"/>
        <v>9600</v>
      </c>
      <c r="H13" s="24">
        <v>3</v>
      </c>
      <c r="I13" s="24">
        <v>10</v>
      </c>
      <c r="J13" s="39" t="str">
        <f t="shared" si="1"/>
        <v>OVERSTOCK</v>
      </c>
      <c r="K13" s="40">
        <f>IFERROR(E13/(SUMIF('Store Issue'!$A$5:$A$13,A13,'Store Issue'!$P$5:$P$13)/30),0)</f>
        <v>0</v>
      </c>
      <c r="L13" s="22" t="str">
        <f>IF(J13="REORDER NOW",COUNTIF($J$4:J13,"REORDER NOW"),"")</f>
        <v/>
      </c>
    </row>
    <row r="14" spans="1:12" x14ac:dyDescent="0.3">
      <c r="A14" s="16" t="s">
        <v>123</v>
      </c>
      <c r="B14" s="16" t="s">
        <v>124</v>
      </c>
      <c r="C14" s="16" t="s">
        <v>116</v>
      </c>
      <c r="D14" s="16" t="s">
        <v>117</v>
      </c>
      <c r="E14" s="26">
        <f>'Store Receiving'!AJ15</f>
        <v>150</v>
      </c>
      <c r="F14" s="25">
        <f>'Store Receiving'!AK15</f>
        <v>8</v>
      </c>
      <c r="G14" s="19">
        <f t="shared" si="0"/>
        <v>1200</v>
      </c>
      <c r="H14" s="24">
        <v>20</v>
      </c>
      <c r="I14" s="24">
        <v>80</v>
      </c>
      <c r="J14" s="39" t="str">
        <f t="shared" si="1"/>
        <v>OVERSTOCK</v>
      </c>
      <c r="K14" s="40">
        <f>IFERROR(E14/(SUMIF('Store Issue'!$A$5:$A$14,A14,'Store Issue'!$P$5:$P$14)/30),0)</f>
        <v>0</v>
      </c>
      <c r="L14" s="22" t="str">
        <f>IF(J14="REORDER NOW",COUNTIF($J$4:J14,"REORDER NOW"),"")</f>
        <v/>
      </c>
    </row>
    <row r="15" spans="1:12" x14ac:dyDescent="0.3">
      <c r="A15" s="16" t="s">
        <v>125</v>
      </c>
      <c r="B15" s="16" t="s">
        <v>126</v>
      </c>
      <c r="C15" s="16" t="s">
        <v>120</v>
      </c>
      <c r="D15" s="16" t="s">
        <v>102</v>
      </c>
      <c r="E15" s="26">
        <f>'Store Receiving'!AJ16</f>
        <v>35</v>
      </c>
      <c r="F15" s="25">
        <f>'Store Receiving'!AK16</f>
        <v>120</v>
      </c>
      <c r="G15" s="19">
        <f t="shared" si="0"/>
        <v>4200</v>
      </c>
      <c r="H15" s="24">
        <v>10</v>
      </c>
      <c r="I15" s="24">
        <v>30</v>
      </c>
      <c r="J15" s="39" t="str">
        <f t="shared" si="1"/>
        <v>OVERSTOCK</v>
      </c>
      <c r="K15" s="40">
        <f>IFERROR(E15/(SUMIF('Store Issue'!$A$5:$A$15,A15,'Store Issue'!$P$5:$P$15)/30),0)</f>
        <v>0</v>
      </c>
      <c r="L15" s="22" t="str">
        <f>IF(J15="REORDER NOW",COUNTIF($J$4:J15,"REORDER NOW"),"")</f>
        <v/>
      </c>
    </row>
    <row r="16" spans="1:12" x14ac:dyDescent="0.3">
      <c r="A16" s="16" t="s">
        <v>127</v>
      </c>
      <c r="B16" s="16" t="s">
        <v>128</v>
      </c>
      <c r="C16" s="16" t="s">
        <v>120</v>
      </c>
      <c r="D16" s="16" t="s">
        <v>117</v>
      </c>
      <c r="E16" s="26">
        <f>'Store Receiving'!AJ17</f>
        <v>90</v>
      </c>
      <c r="F16" s="25">
        <f>'Store Receiving'!AK17</f>
        <v>15</v>
      </c>
      <c r="G16" s="19">
        <f t="shared" si="0"/>
        <v>1350</v>
      </c>
      <c r="H16" s="24">
        <v>20</v>
      </c>
      <c r="I16" s="24">
        <v>80</v>
      </c>
      <c r="J16" s="39" t="str">
        <f t="shared" si="1"/>
        <v>OVERSTOCK</v>
      </c>
      <c r="K16" s="40">
        <f>IFERROR(E16/(SUMIF('Store Issue'!$A$5:$A$16,A16,'Store Issue'!$P$5:$P$16)/30),0)</f>
        <v>0</v>
      </c>
      <c r="L16" s="22" t="str">
        <f>IF(J16="REORDER NOW",COUNTIF($J$4:J16,"REORDER NOW"),"")</f>
        <v/>
      </c>
    </row>
    <row r="17" spans="1:12" x14ac:dyDescent="0.3">
      <c r="A17" s="16" t="s">
        <v>129</v>
      </c>
      <c r="B17" s="16" t="s">
        <v>130</v>
      </c>
      <c r="C17" s="16" t="s">
        <v>131</v>
      </c>
      <c r="D17" s="16" t="s">
        <v>102</v>
      </c>
      <c r="E17" s="26">
        <f>'Store Receiving'!AJ18</f>
        <v>35</v>
      </c>
      <c r="F17" s="25">
        <f>'Store Receiving'!AK18</f>
        <v>220</v>
      </c>
      <c r="G17" s="19">
        <f t="shared" si="0"/>
        <v>7700</v>
      </c>
      <c r="H17" s="24">
        <v>10</v>
      </c>
      <c r="I17" s="24">
        <v>30</v>
      </c>
      <c r="J17" s="39" t="str">
        <f t="shared" si="1"/>
        <v>OVERSTOCK</v>
      </c>
      <c r="K17" s="40">
        <f>IFERROR(E17/(SUMIF('Store Issue'!$A$5:$A$17,A17,'Store Issue'!$P$5:$P$17)/30),0)</f>
        <v>0</v>
      </c>
      <c r="L17" s="22" t="str">
        <f>IF(J17="REORDER NOW",COUNTIF($J$4:J17,"REORDER NOW"),"")</f>
        <v/>
      </c>
    </row>
    <row r="18" spans="1:12" x14ac:dyDescent="0.3">
      <c r="A18" s="16" t="s">
        <v>132</v>
      </c>
      <c r="B18" s="16" t="s">
        <v>133</v>
      </c>
      <c r="C18" s="16" t="s">
        <v>131</v>
      </c>
      <c r="D18" s="16" t="s">
        <v>102</v>
      </c>
      <c r="E18" s="26">
        <f>'Store Receiving'!AJ19</f>
        <v>35</v>
      </c>
      <c r="F18" s="25">
        <f>'Store Receiving'!AK19</f>
        <v>180</v>
      </c>
      <c r="G18" s="19">
        <f t="shared" si="0"/>
        <v>6300</v>
      </c>
      <c r="H18" s="24">
        <v>10</v>
      </c>
      <c r="I18" s="24">
        <v>30</v>
      </c>
      <c r="J18" s="39" t="str">
        <f t="shared" si="1"/>
        <v>OVERSTOCK</v>
      </c>
      <c r="K18" s="40">
        <f>IFERROR(E18/(SUMIF('Store Issue'!$A$5:$A$18,A18,'Store Issue'!$P$5:$P$18)/30),0)</f>
        <v>0</v>
      </c>
      <c r="L18" s="22" t="str">
        <f>IF(J18="REORDER NOW",COUNTIF($J$4:J18,"REORDER NOW"),"")</f>
        <v/>
      </c>
    </row>
    <row r="19" spans="1:12" x14ac:dyDescent="0.3">
      <c r="A19" s="16" t="s">
        <v>134</v>
      </c>
      <c r="B19" s="16" t="s">
        <v>135</v>
      </c>
      <c r="C19" s="16" t="s">
        <v>116</v>
      </c>
      <c r="D19" s="16" t="s">
        <v>102</v>
      </c>
      <c r="E19" s="26">
        <f>'Store Receiving'!AJ20</f>
        <v>25</v>
      </c>
      <c r="F19" s="25">
        <f>'Store Receiving'!AK20</f>
        <v>620</v>
      </c>
      <c r="G19" s="19">
        <f t="shared" si="0"/>
        <v>15500</v>
      </c>
      <c r="H19" s="24">
        <v>3</v>
      </c>
      <c r="I19" s="24">
        <v>10</v>
      </c>
      <c r="J19" s="39" t="str">
        <f t="shared" si="1"/>
        <v>OVERSTOCK</v>
      </c>
      <c r="K19" s="40">
        <f>IFERROR(E19/(SUMIF('Store Issue'!$A$5:$A$19,A19,'Store Issue'!$P$5:$P$19)/30),0)</f>
        <v>0</v>
      </c>
      <c r="L19" s="22" t="str">
        <f>IF(J19="REORDER NOW",COUNTIF($J$4:J19,"REORDER NOW"),"")</f>
        <v/>
      </c>
    </row>
    <row r="20" spans="1:12" x14ac:dyDescent="0.3">
      <c r="A20" s="63" t="s">
        <v>136</v>
      </c>
      <c r="B20" s="63"/>
      <c r="C20" s="63"/>
      <c r="D20" s="63"/>
      <c r="E20" s="63"/>
      <c r="F20" s="63"/>
      <c r="G20" s="63"/>
      <c r="H20" s="63"/>
      <c r="I20" s="63"/>
      <c r="J20" s="63"/>
      <c r="K20" s="63"/>
    </row>
    <row r="21" spans="1:12" x14ac:dyDescent="0.3">
      <c r="A21" s="16" t="s">
        <v>137</v>
      </c>
      <c r="B21" s="16" t="s">
        <v>138</v>
      </c>
      <c r="C21" s="16" t="s">
        <v>139</v>
      </c>
      <c r="D21" s="16" t="s">
        <v>102</v>
      </c>
      <c r="E21" s="26">
        <f>'Store Receiving'!AJ22</f>
        <v>25</v>
      </c>
      <c r="F21" s="25">
        <f>'Store Receiving'!AK22</f>
        <v>900</v>
      </c>
      <c r="G21" s="19">
        <f t="shared" ref="G21:G31" si="2">E21*F21</f>
        <v>22500</v>
      </c>
      <c r="H21" s="24">
        <v>10</v>
      </c>
      <c r="I21" s="24">
        <v>30</v>
      </c>
      <c r="J21" s="39" t="str">
        <f t="shared" ref="J21:J31" si="3">IF(E21&lt;H21,"REORDER NOW",IF(E21&gt;I21,"OVERSTOCK","OK"))</f>
        <v>OK</v>
      </c>
      <c r="K21" s="40">
        <f>IFERROR(E21/(SUMIF('Store Issue'!$A$5:$A$21,A21,'Store Issue'!$P$5:$P$21)/30),0)</f>
        <v>0</v>
      </c>
      <c r="L21" s="22" t="str">
        <f>IF(J21="REORDER NOW",COUNTIF($J$4:J21,"REORDER NOW"),"")</f>
        <v/>
      </c>
    </row>
    <row r="22" spans="1:12" x14ac:dyDescent="0.3">
      <c r="A22" s="16" t="s">
        <v>140</v>
      </c>
      <c r="B22" s="16" t="s">
        <v>141</v>
      </c>
      <c r="C22" s="16" t="s">
        <v>139</v>
      </c>
      <c r="D22" s="16" t="s">
        <v>117</v>
      </c>
      <c r="E22" s="26">
        <f>'Store Receiving'!AJ23</f>
        <v>0</v>
      </c>
      <c r="F22" s="25">
        <f>'Store Receiving'!AK23</f>
        <v>3</v>
      </c>
      <c r="G22" s="19">
        <f t="shared" si="2"/>
        <v>0</v>
      </c>
      <c r="H22" s="24">
        <v>20</v>
      </c>
      <c r="I22" s="24">
        <v>80</v>
      </c>
      <c r="J22" s="39" t="str">
        <f t="shared" si="3"/>
        <v>REORDER NOW</v>
      </c>
      <c r="K22" s="40">
        <f>IFERROR(E22/(SUMIF('Store Issue'!$A$5:$A$22,A22,'Store Issue'!$P$5:$P$22)/30),0)</f>
        <v>0</v>
      </c>
      <c r="L22" s="22">
        <f>IF(J22="REORDER NOW",COUNTIF($J$4:J22,"REORDER NOW"),"")</f>
        <v>1</v>
      </c>
    </row>
    <row r="23" spans="1:12" x14ac:dyDescent="0.3">
      <c r="A23" s="16" t="s">
        <v>142</v>
      </c>
      <c r="B23" s="16" t="s">
        <v>143</v>
      </c>
      <c r="C23" s="16" t="s">
        <v>139</v>
      </c>
      <c r="D23" s="16" t="s">
        <v>117</v>
      </c>
      <c r="E23" s="26">
        <f>'Store Receiving'!AJ24</f>
        <v>0</v>
      </c>
      <c r="F23" s="25">
        <f>'Store Receiving'!AK24</f>
        <v>4</v>
      </c>
      <c r="G23" s="19">
        <f t="shared" si="2"/>
        <v>0</v>
      </c>
      <c r="H23" s="24">
        <v>20</v>
      </c>
      <c r="I23" s="24">
        <v>80</v>
      </c>
      <c r="J23" s="39" t="str">
        <f t="shared" si="3"/>
        <v>REORDER NOW</v>
      </c>
      <c r="K23" s="40">
        <f>IFERROR(E23/(SUMIF('Store Issue'!$A$5:$A$23,A23,'Store Issue'!$P$5:$P$23)/30),0)</f>
        <v>0</v>
      </c>
      <c r="L23" s="22">
        <f>IF(J23="REORDER NOW",COUNTIF($J$4:J23,"REORDER NOW"),"")</f>
        <v>2</v>
      </c>
    </row>
    <row r="24" spans="1:12" x14ac:dyDescent="0.3">
      <c r="A24" s="16" t="s">
        <v>144</v>
      </c>
      <c r="B24" s="16" t="s">
        <v>145</v>
      </c>
      <c r="C24" s="16" t="s">
        <v>146</v>
      </c>
      <c r="D24" s="16" t="s">
        <v>147</v>
      </c>
      <c r="E24" s="26">
        <f>'Store Receiving'!AJ25</f>
        <v>130</v>
      </c>
      <c r="F24" s="25">
        <f>'Store Receiving'!AK25</f>
        <v>65.461538461538467</v>
      </c>
      <c r="G24" s="19">
        <f t="shared" si="2"/>
        <v>8510</v>
      </c>
      <c r="H24" s="24">
        <v>5</v>
      </c>
      <c r="I24" s="24">
        <v>20</v>
      </c>
      <c r="J24" s="39" t="str">
        <f t="shared" si="3"/>
        <v>OVERSTOCK</v>
      </c>
      <c r="K24" s="40">
        <f>IFERROR(E24/(SUMIF('Store Issue'!$A$5:$A$24,A24,'Store Issue'!$P$5:$P$24)/30),0)</f>
        <v>0</v>
      </c>
      <c r="L24" s="22" t="str">
        <f>IF(J24="REORDER NOW",COUNTIF($J$4:J24,"REORDER NOW"),"")</f>
        <v/>
      </c>
    </row>
    <row r="25" spans="1:12" x14ac:dyDescent="0.3">
      <c r="A25" s="16" t="s">
        <v>148</v>
      </c>
      <c r="B25" s="16" t="s">
        <v>149</v>
      </c>
      <c r="C25" s="16" t="s">
        <v>139</v>
      </c>
      <c r="D25" s="16" t="s">
        <v>102</v>
      </c>
      <c r="E25" s="26">
        <f>'Store Receiving'!AJ26</f>
        <v>0</v>
      </c>
      <c r="F25" s="25">
        <f>'Store Receiving'!AK26</f>
        <v>350</v>
      </c>
      <c r="G25" s="19">
        <f t="shared" si="2"/>
        <v>0</v>
      </c>
      <c r="H25" s="24">
        <v>10</v>
      </c>
      <c r="I25" s="24">
        <v>30</v>
      </c>
      <c r="J25" s="39" t="str">
        <f t="shared" si="3"/>
        <v>REORDER NOW</v>
      </c>
      <c r="K25" s="40">
        <f>IFERROR(E25/(SUMIF('Store Issue'!$A$5:$A$25,A25,'Store Issue'!$P$5:$P$25)/30),0)</f>
        <v>0</v>
      </c>
      <c r="L25" s="22">
        <f>IF(J25="REORDER NOW",COUNTIF($J$4:J25,"REORDER NOW"),"")</f>
        <v>3</v>
      </c>
    </row>
    <row r="26" spans="1:12" x14ac:dyDescent="0.3">
      <c r="A26" s="16" t="s">
        <v>150</v>
      </c>
      <c r="B26" s="16" t="s">
        <v>151</v>
      </c>
      <c r="C26" s="16" t="s">
        <v>152</v>
      </c>
      <c r="D26" s="16" t="s">
        <v>147</v>
      </c>
      <c r="E26" s="26">
        <f>'Store Receiving'!AJ27</f>
        <v>12</v>
      </c>
      <c r="F26" s="25">
        <f>'Store Receiving'!AK27</f>
        <v>950</v>
      </c>
      <c r="G26" s="19">
        <f t="shared" si="2"/>
        <v>11400</v>
      </c>
      <c r="H26" s="24">
        <v>5</v>
      </c>
      <c r="I26" s="24">
        <v>20</v>
      </c>
      <c r="J26" s="39" t="str">
        <f t="shared" si="3"/>
        <v>OK</v>
      </c>
      <c r="K26" s="40">
        <f>IFERROR(E26/(SUMIF('Store Issue'!$A$5:$A$26,A26,'Store Issue'!$P$5:$P$26)/30),0)</f>
        <v>0</v>
      </c>
      <c r="L26" s="22" t="str">
        <f>IF(J26="REORDER NOW",COUNTIF($J$4:J26,"REORDER NOW"),"")</f>
        <v/>
      </c>
    </row>
    <row r="27" spans="1:12" x14ac:dyDescent="0.3">
      <c r="A27" s="16" t="s">
        <v>153</v>
      </c>
      <c r="B27" s="16" t="s">
        <v>154</v>
      </c>
      <c r="C27" s="16" t="s">
        <v>155</v>
      </c>
      <c r="D27" s="16" t="s">
        <v>102</v>
      </c>
      <c r="E27" s="26">
        <f>'Store Receiving'!AJ28</f>
        <v>0</v>
      </c>
      <c r="F27" s="25">
        <f>'Store Receiving'!AK28</f>
        <v>150</v>
      </c>
      <c r="G27" s="19">
        <f t="shared" si="2"/>
        <v>0</v>
      </c>
      <c r="H27" s="24">
        <v>10</v>
      </c>
      <c r="I27" s="24">
        <v>30</v>
      </c>
      <c r="J27" s="39" t="str">
        <f t="shared" si="3"/>
        <v>REORDER NOW</v>
      </c>
      <c r="K27" s="40">
        <f>IFERROR(E27/(SUMIF('Store Issue'!$A$5:$A$27,A27,'Store Issue'!$P$5:$P$27)/30),0)</f>
        <v>0</v>
      </c>
      <c r="L27" s="22">
        <f>IF(J27="REORDER NOW",COUNTIF($J$4:J27,"REORDER NOW"),"")</f>
        <v>4</v>
      </c>
    </row>
    <row r="28" spans="1:12" x14ac:dyDescent="0.3">
      <c r="A28" s="16" t="s">
        <v>156</v>
      </c>
      <c r="B28" s="16" t="s">
        <v>157</v>
      </c>
      <c r="C28" s="16" t="s">
        <v>155</v>
      </c>
      <c r="D28" s="16" t="s">
        <v>102</v>
      </c>
      <c r="E28" s="26">
        <f>'Store Receiving'!AJ29</f>
        <v>12</v>
      </c>
      <c r="F28" s="25">
        <f>'Store Receiving'!AK29</f>
        <v>100</v>
      </c>
      <c r="G28" s="19">
        <f t="shared" si="2"/>
        <v>1200</v>
      </c>
      <c r="H28" s="24">
        <v>10</v>
      </c>
      <c r="I28" s="24">
        <v>30</v>
      </c>
      <c r="J28" s="39" t="str">
        <f t="shared" si="3"/>
        <v>OK</v>
      </c>
      <c r="K28" s="40">
        <f>IFERROR(E28/(SUMIF('Store Issue'!$A$5:$A$28,A28,'Store Issue'!$P$5:$P$28)/30),0)</f>
        <v>0</v>
      </c>
      <c r="L28" s="22" t="str">
        <f>IF(J28="REORDER NOW",COUNTIF($J$4:J28,"REORDER NOW"),"")</f>
        <v/>
      </c>
    </row>
    <row r="29" spans="1:12" x14ac:dyDescent="0.3">
      <c r="A29" s="16" t="s">
        <v>158</v>
      </c>
      <c r="B29" s="16" t="s">
        <v>159</v>
      </c>
      <c r="C29" s="16" t="s">
        <v>109</v>
      </c>
      <c r="D29" s="16" t="s">
        <v>102</v>
      </c>
      <c r="E29" s="26">
        <f>'Store Receiving'!AJ30</f>
        <v>20</v>
      </c>
      <c r="F29" s="25">
        <f>'Store Receiving'!AK30</f>
        <v>90</v>
      </c>
      <c r="G29" s="19">
        <f t="shared" si="2"/>
        <v>1800</v>
      </c>
      <c r="H29" s="24">
        <v>5</v>
      </c>
      <c r="I29" s="24">
        <v>15</v>
      </c>
      <c r="J29" s="39" t="str">
        <f t="shared" si="3"/>
        <v>OVERSTOCK</v>
      </c>
      <c r="K29" s="40">
        <f>IFERROR(E29/(SUMIF('Store Issue'!$A$5:$A$29,A29,'Store Issue'!$P$5:$P$29)/30),0)</f>
        <v>0</v>
      </c>
      <c r="L29" s="22" t="str">
        <f>IF(J29="REORDER NOW",COUNTIF($J$4:J29,"REORDER NOW"),"")</f>
        <v/>
      </c>
    </row>
    <row r="30" spans="1:12" x14ac:dyDescent="0.3">
      <c r="A30" s="16" t="s">
        <v>160</v>
      </c>
      <c r="B30" s="16" t="s">
        <v>161</v>
      </c>
      <c r="C30" s="16" t="s">
        <v>162</v>
      </c>
      <c r="D30" s="16" t="s">
        <v>147</v>
      </c>
      <c r="E30" s="26">
        <f>'Store Receiving'!AJ31</f>
        <v>35</v>
      </c>
      <c r="F30" s="25">
        <f>'Store Receiving'!AK31</f>
        <v>45</v>
      </c>
      <c r="G30" s="19">
        <f t="shared" si="2"/>
        <v>1575</v>
      </c>
      <c r="H30" s="24">
        <v>5</v>
      </c>
      <c r="I30" s="24">
        <v>20</v>
      </c>
      <c r="J30" s="39" t="str">
        <f t="shared" si="3"/>
        <v>OVERSTOCK</v>
      </c>
      <c r="K30" s="40">
        <f>IFERROR(E30/(SUMIF('Store Issue'!$A$5:$A$30,A30,'Store Issue'!$P$5:$P$30)/30),0)</f>
        <v>0</v>
      </c>
      <c r="L30" s="22" t="str">
        <f>IF(J30="REORDER NOW",COUNTIF($J$4:J30,"REORDER NOW"),"")</f>
        <v/>
      </c>
    </row>
    <row r="31" spans="1:12" x14ac:dyDescent="0.3">
      <c r="A31" s="16" t="s">
        <v>163</v>
      </c>
      <c r="B31" s="16" t="s">
        <v>164</v>
      </c>
      <c r="C31" s="16" t="s">
        <v>165</v>
      </c>
      <c r="D31" s="16" t="s">
        <v>166</v>
      </c>
      <c r="E31" s="26">
        <f>'Store Receiving'!AJ32</f>
        <v>220</v>
      </c>
      <c r="F31" s="25">
        <f>'Store Receiving'!AK32</f>
        <v>35</v>
      </c>
      <c r="G31" s="19">
        <f t="shared" si="2"/>
        <v>7700</v>
      </c>
      <c r="H31" s="24">
        <v>24</v>
      </c>
      <c r="I31" s="24">
        <v>96</v>
      </c>
      <c r="J31" s="39" t="str">
        <f t="shared" si="3"/>
        <v>OVERSTOCK</v>
      </c>
      <c r="K31" s="40">
        <f>IFERROR(E31/(SUMIF('Store Issue'!$A$5:$A$31,A31,'Store Issue'!$P$5:$P$31)/30),0)</f>
        <v>0</v>
      </c>
      <c r="L31" s="22" t="str">
        <f>IF(J31="REORDER NOW",COUNTIF($J$4:J31,"REORDER NOW"),"")</f>
        <v/>
      </c>
    </row>
    <row r="32" spans="1:12" x14ac:dyDescent="0.3">
      <c r="A32" s="63" t="s">
        <v>167</v>
      </c>
      <c r="B32" s="63"/>
      <c r="C32" s="63"/>
      <c r="D32" s="63"/>
      <c r="E32" s="63"/>
      <c r="F32" s="63"/>
      <c r="G32" s="63"/>
      <c r="H32" s="63"/>
      <c r="I32" s="63"/>
      <c r="J32" s="63"/>
      <c r="K32" s="63"/>
    </row>
    <row r="33" spans="1:12" x14ac:dyDescent="0.3">
      <c r="A33" s="16" t="s">
        <v>168</v>
      </c>
      <c r="B33" s="16" t="s">
        <v>169</v>
      </c>
      <c r="C33" s="16" t="s">
        <v>170</v>
      </c>
      <c r="D33" s="16" t="s">
        <v>117</v>
      </c>
      <c r="E33" s="26">
        <f>'Store Receiving'!AJ34</f>
        <v>400</v>
      </c>
      <c r="F33" s="25">
        <f>'Store Receiving'!AK34</f>
        <v>8</v>
      </c>
      <c r="G33" s="19">
        <f t="shared" ref="G33:G41" si="4">E33*F33</f>
        <v>3200</v>
      </c>
      <c r="H33" s="24">
        <v>100</v>
      </c>
      <c r="I33" s="24">
        <v>400</v>
      </c>
      <c r="J33" s="39" t="str">
        <f t="shared" ref="J33:J41" si="5">IF(E33&lt;H33,"REORDER NOW",IF(E33&gt;I33,"OVERSTOCK","OK"))</f>
        <v>OK</v>
      </c>
      <c r="K33" s="40">
        <f>IFERROR(E33/(SUMIF('Store Issue'!$A$5:$A$33,A33,'Store Issue'!$P$5:$P$33)/30),0)</f>
        <v>0</v>
      </c>
      <c r="L33" s="22" t="str">
        <f>IF(J33="REORDER NOW",COUNTIF($J$4:J33,"REORDER NOW"),"")</f>
        <v/>
      </c>
    </row>
    <row r="34" spans="1:12" x14ac:dyDescent="0.3">
      <c r="A34" s="16" t="s">
        <v>171</v>
      </c>
      <c r="B34" s="16" t="s">
        <v>172</v>
      </c>
      <c r="C34" s="16" t="s">
        <v>170</v>
      </c>
      <c r="D34" s="16" t="s">
        <v>117</v>
      </c>
      <c r="E34" s="26">
        <f>'Store Receiving'!AJ35</f>
        <v>300</v>
      </c>
      <c r="F34" s="25">
        <f>'Store Receiving'!AK35</f>
        <v>15</v>
      </c>
      <c r="G34" s="19">
        <f t="shared" si="4"/>
        <v>4500</v>
      </c>
      <c r="H34" s="24">
        <v>100</v>
      </c>
      <c r="I34" s="24">
        <v>400</v>
      </c>
      <c r="J34" s="39" t="str">
        <f t="shared" si="5"/>
        <v>OK</v>
      </c>
      <c r="K34" s="40">
        <f>IFERROR(E34/(SUMIF('Store Issue'!$A$5:$A$34,A34,'Store Issue'!$P$5:$P$34)/30),0)</f>
        <v>0</v>
      </c>
      <c r="L34" s="22" t="str">
        <f>IF(J34="REORDER NOW",COUNTIF($J$4:J34,"REORDER NOW"),"")</f>
        <v/>
      </c>
    </row>
    <row r="35" spans="1:12" x14ac:dyDescent="0.3">
      <c r="A35" s="16" t="s">
        <v>173</v>
      </c>
      <c r="B35" s="16" t="s">
        <v>174</v>
      </c>
      <c r="C35" s="16" t="s">
        <v>175</v>
      </c>
      <c r="D35" s="16" t="s">
        <v>117</v>
      </c>
      <c r="E35" s="26">
        <f>'Store Receiving'!AJ36</f>
        <v>0</v>
      </c>
      <c r="F35" s="25">
        <f>'Store Receiving'!AK36</f>
        <v>1</v>
      </c>
      <c r="G35" s="19">
        <f t="shared" si="4"/>
        <v>0</v>
      </c>
      <c r="H35" s="24">
        <v>100</v>
      </c>
      <c r="I35" s="24">
        <v>400</v>
      </c>
      <c r="J35" s="39" t="str">
        <f t="shared" si="5"/>
        <v>REORDER NOW</v>
      </c>
      <c r="K35" s="40">
        <f>IFERROR(E35/(SUMIF('Store Issue'!$A$5:$A$35,A35,'Store Issue'!$P$5:$P$35)/30),0)</f>
        <v>0</v>
      </c>
      <c r="L35" s="22">
        <f>IF(J35="REORDER NOW",COUNTIF($J$4:J35,"REORDER NOW"),"")</f>
        <v>5</v>
      </c>
    </row>
    <row r="36" spans="1:12" x14ac:dyDescent="0.3">
      <c r="A36" s="16" t="s">
        <v>176</v>
      </c>
      <c r="B36" s="16" t="s">
        <v>177</v>
      </c>
      <c r="C36" s="16" t="s">
        <v>175</v>
      </c>
      <c r="D36" s="16" t="s">
        <v>117</v>
      </c>
      <c r="E36" s="26">
        <f>'Store Receiving'!AJ37</f>
        <v>0</v>
      </c>
      <c r="F36" s="25">
        <f>'Store Receiving'!AK37</f>
        <v>1</v>
      </c>
      <c r="G36" s="19">
        <f t="shared" si="4"/>
        <v>0</v>
      </c>
      <c r="H36" s="24">
        <v>100</v>
      </c>
      <c r="I36" s="24">
        <v>400</v>
      </c>
      <c r="J36" s="39" t="str">
        <f t="shared" si="5"/>
        <v>REORDER NOW</v>
      </c>
      <c r="K36" s="40">
        <f>IFERROR(E36/(SUMIF('Store Issue'!$A$5:$A$36,A36,'Store Issue'!$P$5:$P$36)/30),0)</f>
        <v>0</v>
      </c>
      <c r="L36" s="22">
        <f>IF(J36="REORDER NOW",COUNTIF($J$4:J36,"REORDER NOW"),"")</f>
        <v>6</v>
      </c>
    </row>
    <row r="37" spans="1:12" x14ac:dyDescent="0.3">
      <c r="A37" s="16" t="s">
        <v>178</v>
      </c>
      <c r="B37" s="16" t="s">
        <v>179</v>
      </c>
      <c r="C37" s="16" t="s">
        <v>180</v>
      </c>
      <c r="D37" s="16" t="s">
        <v>102</v>
      </c>
      <c r="E37" s="26">
        <f>'Store Receiving'!AJ38</f>
        <v>45</v>
      </c>
      <c r="F37" s="25">
        <f>'Store Receiving'!AK38</f>
        <v>60</v>
      </c>
      <c r="G37" s="19">
        <f t="shared" si="4"/>
        <v>2700</v>
      </c>
      <c r="H37" s="24">
        <v>10</v>
      </c>
      <c r="I37" s="24">
        <v>30</v>
      </c>
      <c r="J37" s="39" t="str">
        <f t="shared" si="5"/>
        <v>OVERSTOCK</v>
      </c>
      <c r="K37" s="40">
        <f>IFERROR(E37/(SUMIF('Store Issue'!$A$5:$A$37,A37,'Store Issue'!$P$5:$P$37)/30),0)</f>
        <v>0</v>
      </c>
      <c r="L37" s="22" t="str">
        <f>IF(J37="REORDER NOW",COUNTIF($J$4:J37,"REORDER NOW"),"")</f>
        <v/>
      </c>
    </row>
    <row r="38" spans="1:12" x14ac:dyDescent="0.3">
      <c r="A38" s="16" t="s">
        <v>181</v>
      </c>
      <c r="B38" s="16" t="s">
        <v>182</v>
      </c>
      <c r="C38" s="16" t="s">
        <v>180</v>
      </c>
      <c r="D38" s="16" t="s">
        <v>102</v>
      </c>
      <c r="E38" s="26">
        <f>'Store Receiving'!AJ39</f>
        <v>0</v>
      </c>
      <c r="F38" s="25">
        <f>'Store Receiving'!AK39</f>
        <v>25</v>
      </c>
      <c r="G38" s="19">
        <f t="shared" si="4"/>
        <v>0</v>
      </c>
      <c r="H38" s="24">
        <v>10</v>
      </c>
      <c r="I38" s="24">
        <v>30</v>
      </c>
      <c r="J38" s="39" t="str">
        <f t="shared" si="5"/>
        <v>REORDER NOW</v>
      </c>
      <c r="K38" s="40">
        <f>IFERROR(E38/(SUMIF('Store Issue'!$A$5:$A$38,A38,'Store Issue'!$P$5:$P$38)/30),0)</f>
        <v>0</v>
      </c>
      <c r="L38" s="22">
        <f>IF(J38="REORDER NOW",COUNTIF($J$4:J38,"REORDER NOW"),"")</f>
        <v>7</v>
      </c>
    </row>
    <row r="39" spans="1:12" x14ac:dyDescent="0.3">
      <c r="A39" s="16" t="s">
        <v>183</v>
      </c>
      <c r="B39" s="16" t="s">
        <v>184</v>
      </c>
      <c r="C39" s="16" t="s">
        <v>180</v>
      </c>
      <c r="D39" s="16" t="s">
        <v>147</v>
      </c>
      <c r="E39" s="26">
        <f>'Store Receiving'!AJ40</f>
        <v>45</v>
      </c>
      <c r="F39" s="25">
        <f>'Store Receiving'!AK40</f>
        <v>150</v>
      </c>
      <c r="G39" s="19">
        <f t="shared" si="4"/>
        <v>6750</v>
      </c>
      <c r="H39" s="24">
        <v>5</v>
      </c>
      <c r="I39" s="24">
        <v>20</v>
      </c>
      <c r="J39" s="39" t="str">
        <f t="shared" si="5"/>
        <v>OVERSTOCK</v>
      </c>
      <c r="K39" s="40">
        <f>IFERROR(E39/(SUMIF('Store Issue'!$A$5:$A$39,A39,'Store Issue'!$P$5:$P$39)/30),0)</f>
        <v>0</v>
      </c>
      <c r="L39" s="22" t="str">
        <f>IF(J39="REORDER NOW",COUNTIF($J$4:J39,"REORDER NOW"),"")</f>
        <v/>
      </c>
    </row>
    <row r="40" spans="1:12" x14ac:dyDescent="0.3">
      <c r="A40" s="16" t="s">
        <v>185</v>
      </c>
      <c r="B40" s="16" t="s">
        <v>186</v>
      </c>
      <c r="C40" s="16" t="s">
        <v>180</v>
      </c>
      <c r="D40" s="16" t="s">
        <v>102</v>
      </c>
      <c r="E40" s="26">
        <f>'Store Receiving'!AJ41</f>
        <v>12</v>
      </c>
      <c r="F40" s="25">
        <f>'Store Receiving'!AK41</f>
        <v>400</v>
      </c>
      <c r="G40" s="19">
        <f t="shared" si="4"/>
        <v>4800</v>
      </c>
      <c r="H40" s="24">
        <v>10</v>
      </c>
      <c r="I40" s="24">
        <v>30</v>
      </c>
      <c r="J40" s="39" t="str">
        <f t="shared" si="5"/>
        <v>OK</v>
      </c>
      <c r="K40" s="40">
        <f>IFERROR(E40/(SUMIF('Store Issue'!$A$5:$A$40,A40,'Store Issue'!$P$5:$P$40)/30),0)</f>
        <v>0</v>
      </c>
      <c r="L40" s="22" t="str">
        <f>IF(J40="REORDER NOW",COUNTIF($J$4:J40,"REORDER NOW"),"")</f>
        <v/>
      </c>
    </row>
    <row r="41" spans="1:12" x14ac:dyDescent="0.3">
      <c r="A41" s="16" t="s">
        <v>187</v>
      </c>
      <c r="B41" s="16" t="s">
        <v>188</v>
      </c>
      <c r="C41" s="16" t="s">
        <v>180</v>
      </c>
      <c r="D41" s="16" t="s">
        <v>102</v>
      </c>
      <c r="E41" s="26">
        <f>'Store Receiving'!AJ42</f>
        <v>0</v>
      </c>
      <c r="F41" s="25">
        <f>'Store Receiving'!AK42</f>
        <v>500</v>
      </c>
      <c r="G41" s="19">
        <f t="shared" si="4"/>
        <v>0</v>
      </c>
      <c r="H41" s="24">
        <v>10</v>
      </c>
      <c r="I41" s="24">
        <v>30</v>
      </c>
      <c r="J41" s="39" t="str">
        <f t="shared" si="5"/>
        <v>REORDER NOW</v>
      </c>
      <c r="K41" s="40">
        <f>IFERROR(E41/(SUMIF('Store Issue'!$A$5:$A$41,A41,'Store Issue'!$P$5:$P$41)/30),0)</f>
        <v>0</v>
      </c>
      <c r="L41" s="22">
        <f>IF(J41="REORDER NOW",COUNTIF($J$4:J41,"REORDER NOW"),"")</f>
        <v>8</v>
      </c>
    </row>
  </sheetData>
  <mergeCells count="5">
    <mergeCell ref="A1:K1"/>
    <mergeCell ref="A2:K2"/>
    <mergeCell ref="A4:K4"/>
    <mergeCell ref="A20:K20"/>
    <mergeCell ref="A32:K32"/>
  </mergeCells>
  <conditionalFormatting sqref="J4:J41">
    <cfRule type="cellIs" dxfId="9" priority="2" operator="equal">
      <formula>"REORDER NOW"</formula>
    </cfRule>
    <cfRule type="cellIs" dxfId="8" priority="3" operator="equal">
      <formula>"OVERSTOCK"</formula>
    </cfRule>
    <cfRule type="cellIs" dxfId="7" priority="4" operator="equal">
      <formula>"OK"</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971C"/>
  </sheetPr>
  <dimension ref="A1:R47"/>
  <sheetViews>
    <sheetView showGridLines="0" zoomScaleNormal="100" workbookViewId="0">
      <pane xSplit="6" ySplit="4" topLeftCell="G5" activePane="bottomRight" state="frozen"/>
      <selection pane="topRight" activeCell="G1" sqref="G1"/>
      <selection pane="bottomLeft" activeCell="A5" sqref="A5"/>
      <selection pane="bottomRight" sqref="A1:J1"/>
    </sheetView>
  </sheetViews>
  <sheetFormatPr defaultColWidth="8.6640625" defaultRowHeight="14.4" x14ac:dyDescent="0.3"/>
  <cols>
    <col min="1" max="1" width="11" customWidth="1"/>
    <col min="2" max="2" width="26" customWidth="1"/>
    <col min="3" max="3" width="18" customWidth="1"/>
    <col min="4" max="4" width="8" customWidth="1"/>
    <col min="5" max="5" width="12" customWidth="1"/>
    <col min="6" max="6" width="11" customWidth="1"/>
    <col min="7" max="15" width="9" customWidth="1"/>
    <col min="16" max="16" width="13" customWidth="1"/>
    <col min="17" max="18" width="12" customWidth="1"/>
  </cols>
  <sheetData>
    <row r="1" spans="1:18" ht="25.5" customHeight="1" x14ac:dyDescent="0.3">
      <c r="A1" s="14" t="s">
        <v>487</v>
      </c>
      <c r="B1" s="14"/>
      <c r="C1" s="14"/>
      <c r="D1" s="14"/>
      <c r="E1" s="14"/>
      <c r="F1" s="14"/>
      <c r="G1" s="14"/>
      <c r="H1" s="14"/>
      <c r="I1" s="14"/>
      <c r="J1" s="14"/>
    </row>
    <row r="2" spans="1:18" x14ac:dyDescent="0.3">
      <c r="A2" s="13" t="s">
        <v>488</v>
      </c>
      <c r="B2" s="13"/>
      <c r="C2" s="13"/>
      <c r="D2" s="13"/>
      <c r="E2" s="13"/>
      <c r="F2" s="13"/>
      <c r="G2" s="13"/>
      <c r="H2" s="13"/>
      <c r="I2" s="13"/>
      <c r="J2" s="13"/>
    </row>
    <row r="3" spans="1:18" x14ac:dyDescent="0.3">
      <c r="A3" s="36" t="s">
        <v>489</v>
      </c>
      <c r="G3" s="41">
        <v>46207</v>
      </c>
      <c r="H3" s="41">
        <v>46219</v>
      </c>
      <c r="I3" s="42" t="s">
        <v>410</v>
      </c>
      <c r="J3" s="42" t="s">
        <v>410</v>
      </c>
      <c r="K3" s="42" t="s">
        <v>410</v>
      </c>
      <c r="L3" s="42" t="s">
        <v>410</v>
      </c>
      <c r="M3" s="42" t="s">
        <v>410</v>
      </c>
      <c r="N3" s="42" t="s">
        <v>410</v>
      </c>
      <c r="O3" s="42" t="s">
        <v>410</v>
      </c>
    </row>
    <row r="4" spans="1:18" ht="30" customHeight="1" x14ac:dyDescent="0.3">
      <c r="A4" s="15" t="s">
        <v>93</v>
      </c>
      <c r="B4" s="15" t="s">
        <v>94</v>
      </c>
      <c r="C4" s="15" t="s">
        <v>95</v>
      </c>
      <c r="D4" s="15" t="s">
        <v>96</v>
      </c>
      <c r="E4" s="15" t="s">
        <v>31</v>
      </c>
      <c r="F4" s="15" t="s">
        <v>475</v>
      </c>
      <c r="G4" s="15" t="s">
        <v>490</v>
      </c>
      <c r="H4" s="15" t="s">
        <v>491</v>
      </c>
      <c r="I4" s="15" t="s">
        <v>492</v>
      </c>
      <c r="J4" s="15" t="s">
        <v>493</v>
      </c>
      <c r="K4" s="15" t="s">
        <v>494</v>
      </c>
      <c r="L4" s="15" t="s">
        <v>495</v>
      </c>
      <c r="M4" s="15" t="s">
        <v>496</v>
      </c>
      <c r="N4" s="15" t="s">
        <v>497</v>
      </c>
      <c r="O4" s="15" t="s">
        <v>498</v>
      </c>
      <c r="P4" s="15" t="s">
        <v>499</v>
      </c>
      <c r="Q4" s="15" t="s">
        <v>500</v>
      </c>
      <c r="R4" s="15" t="s">
        <v>501</v>
      </c>
    </row>
    <row r="5" spans="1:18" x14ac:dyDescent="0.3">
      <c r="A5" s="63" t="s">
        <v>98</v>
      </c>
      <c r="B5" s="63"/>
      <c r="C5" s="63"/>
      <c r="D5" s="63"/>
      <c r="E5" s="63"/>
      <c r="F5" s="63"/>
      <c r="G5" s="63"/>
      <c r="H5" s="63"/>
      <c r="I5" s="63"/>
      <c r="J5" s="63"/>
      <c r="K5" s="63"/>
      <c r="L5" s="63"/>
      <c r="M5" s="63"/>
      <c r="N5" s="63"/>
      <c r="O5" s="63"/>
      <c r="P5" s="63"/>
      <c r="Q5" s="63"/>
      <c r="R5" s="63"/>
    </row>
    <row r="6" spans="1:18" x14ac:dyDescent="0.3">
      <c r="A6" s="16" t="s">
        <v>99</v>
      </c>
      <c r="B6" s="16" t="s">
        <v>100</v>
      </c>
      <c r="C6" s="16" t="s">
        <v>101</v>
      </c>
      <c r="D6" s="16" t="s">
        <v>102</v>
      </c>
      <c r="E6" s="26">
        <f>'Store Inventory'!E5</f>
        <v>85</v>
      </c>
      <c r="F6" s="25">
        <f>'Store Inventory'!F5</f>
        <v>557.35294117647061</v>
      </c>
      <c r="G6" s="24">
        <v>20</v>
      </c>
      <c r="H6" s="24">
        <v>16</v>
      </c>
      <c r="I6" s="31"/>
      <c r="J6" s="31"/>
      <c r="K6" s="31"/>
      <c r="L6" s="31"/>
      <c r="M6" s="31"/>
      <c r="N6" s="31"/>
      <c r="O6" s="31"/>
      <c r="P6" s="37">
        <f t="shared" ref="P6:P20" si="0">SUM(G6:O6)</f>
        <v>36</v>
      </c>
      <c r="Q6" s="38">
        <f t="shared" ref="Q6:Q20" si="1">P6*F6</f>
        <v>20064.705882352941</v>
      </c>
      <c r="R6" s="37">
        <f t="shared" ref="R6:R20" si="2">E6-P6</f>
        <v>49</v>
      </c>
    </row>
    <row r="7" spans="1:18" x14ac:dyDescent="0.3">
      <c r="A7" s="16" t="s">
        <v>103</v>
      </c>
      <c r="B7" s="16" t="s">
        <v>104</v>
      </c>
      <c r="C7" s="16" t="s">
        <v>101</v>
      </c>
      <c r="D7" s="16" t="s">
        <v>102</v>
      </c>
      <c r="E7" s="26">
        <f>'Store Inventory'!E6</f>
        <v>75</v>
      </c>
      <c r="F7" s="25">
        <f>'Store Inventory'!F6</f>
        <v>482.66666666666669</v>
      </c>
      <c r="G7" s="24">
        <v>18</v>
      </c>
      <c r="H7" s="24">
        <v>16</v>
      </c>
      <c r="I7" s="31"/>
      <c r="J7" s="31"/>
      <c r="K7" s="31"/>
      <c r="L7" s="31"/>
      <c r="M7" s="31"/>
      <c r="N7" s="31"/>
      <c r="O7" s="31"/>
      <c r="P7" s="37">
        <f t="shared" si="0"/>
        <v>34</v>
      </c>
      <c r="Q7" s="38">
        <f t="shared" si="1"/>
        <v>16410.666666666668</v>
      </c>
      <c r="R7" s="37">
        <f t="shared" si="2"/>
        <v>41</v>
      </c>
    </row>
    <row r="8" spans="1:18" x14ac:dyDescent="0.3">
      <c r="A8" s="16" t="s">
        <v>105</v>
      </c>
      <c r="B8" s="16" t="s">
        <v>106</v>
      </c>
      <c r="C8" s="16" t="s">
        <v>101</v>
      </c>
      <c r="D8" s="16" t="s">
        <v>102</v>
      </c>
      <c r="E8" s="26">
        <f>'Store Inventory'!E7</f>
        <v>20</v>
      </c>
      <c r="F8" s="25">
        <f>'Store Inventory'!F7</f>
        <v>650</v>
      </c>
      <c r="G8" s="24">
        <v>10</v>
      </c>
      <c r="H8" s="31"/>
      <c r="I8" s="31"/>
      <c r="J8" s="31"/>
      <c r="K8" s="31"/>
      <c r="L8" s="31"/>
      <c r="M8" s="31"/>
      <c r="N8" s="31"/>
      <c r="O8" s="31"/>
      <c r="P8" s="37">
        <f t="shared" si="0"/>
        <v>10</v>
      </c>
      <c r="Q8" s="38">
        <f t="shared" si="1"/>
        <v>6500</v>
      </c>
      <c r="R8" s="37">
        <f t="shared" si="2"/>
        <v>10</v>
      </c>
    </row>
    <row r="9" spans="1:18" x14ac:dyDescent="0.3">
      <c r="A9" s="16" t="s">
        <v>107</v>
      </c>
      <c r="B9" s="16" t="s">
        <v>108</v>
      </c>
      <c r="C9" s="16" t="s">
        <v>109</v>
      </c>
      <c r="D9" s="16" t="s">
        <v>102</v>
      </c>
      <c r="E9" s="26">
        <f>'Store Inventory'!E8</f>
        <v>50</v>
      </c>
      <c r="F9" s="25">
        <f>'Store Inventory'!F8</f>
        <v>60</v>
      </c>
      <c r="G9" s="24">
        <v>12</v>
      </c>
      <c r="H9" s="24">
        <v>11</v>
      </c>
      <c r="I9" s="31"/>
      <c r="J9" s="31"/>
      <c r="K9" s="31"/>
      <c r="L9" s="31"/>
      <c r="M9" s="31"/>
      <c r="N9" s="31"/>
      <c r="O9" s="31"/>
      <c r="P9" s="37">
        <f t="shared" si="0"/>
        <v>23</v>
      </c>
      <c r="Q9" s="38">
        <f t="shared" si="1"/>
        <v>1380</v>
      </c>
      <c r="R9" s="37">
        <f t="shared" si="2"/>
        <v>27</v>
      </c>
    </row>
    <row r="10" spans="1:18" x14ac:dyDescent="0.3">
      <c r="A10" s="16" t="s">
        <v>110</v>
      </c>
      <c r="B10" s="16" t="s">
        <v>111</v>
      </c>
      <c r="C10" s="16" t="s">
        <v>109</v>
      </c>
      <c r="D10" s="16" t="s">
        <v>102</v>
      </c>
      <c r="E10" s="26">
        <f>'Store Inventory'!E9</f>
        <v>50</v>
      </c>
      <c r="F10" s="25">
        <f>'Store Inventory'!F9</f>
        <v>56</v>
      </c>
      <c r="G10" s="24">
        <v>12</v>
      </c>
      <c r="H10" s="24">
        <v>11</v>
      </c>
      <c r="I10" s="31"/>
      <c r="J10" s="31"/>
      <c r="K10" s="31"/>
      <c r="L10" s="31"/>
      <c r="M10" s="31"/>
      <c r="N10" s="31"/>
      <c r="O10" s="31"/>
      <c r="P10" s="37">
        <f t="shared" si="0"/>
        <v>23</v>
      </c>
      <c r="Q10" s="38">
        <f t="shared" si="1"/>
        <v>1288</v>
      </c>
      <c r="R10" s="37">
        <f t="shared" si="2"/>
        <v>27</v>
      </c>
    </row>
    <row r="11" spans="1:18" x14ac:dyDescent="0.3">
      <c r="A11" s="16" t="s">
        <v>112</v>
      </c>
      <c r="B11" s="16" t="s">
        <v>113</v>
      </c>
      <c r="C11" s="16" t="s">
        <v>109</v>
      </c>
      <c r="D11" s="16" t="s">
        <v>102</v>
      </c>
      <c r="E11" s="26">
        <f>'Store Inventory'!E10</f>
        <v>25</v>
      </c>
      <c r="F11" s="25">
        <f>'Store Inventory'!F10</f>
        <v>40</v>
      </c>
      <c r="G11" s="24">
        <v>10</v>
      </c>
      <c r="H11" s="31"/>
      <c r="I11" s="31"/>
      <c r="J11" s="31"/>
      <c r="K11" s="31"/>
      <c r="L11" s="31"/>
      <c r="M11" s="31"/>
      <c r="N11" s="31"/>
      <c r="O11" s="31"/>
      <c r="P11" s="37">
        <f t="shared" si="0"/>
        <v>10</v>
      </c>
      <c r="Q11" s="38">
        <f t="shared" si="1"/>
        <v>400</v>
      </c>
      <c r="R11" s="37">
        <f t="shared" si="2"/>
        <v>15</v>
      </c>
    </row>
    <row r="12" spans="1:18" x14ac:dyDescent="0.3">
      <c r="A12" s="16" t="s">
        <v>114</v>
      </c>
      <c r="B12" s="16" t="s">
        <v>115</v>
      </c>
      <c r="C12" s="16" t="s">
        <v>116</v>
      </c>
      <c r="D12" s="16" t="s">
        <v>117</v>
      </c>
      <c r="E12" s="26">
        <f>'Store Inventory'!E11</f>
        <v>150</v>
      </c>
      <c r="F12" s="25">
        <f>'Store Inventory'!F11</f>
        <v>12</v>
      </c>
      <c r="G12" s="24">
        <v>130</v>
      </c>
      <c r="H12" s="31"/>
      <c r="I12" s="31"/>
      <c r="J12" s="31"/>
      <c r="K12" s="31"/>
      <c r="L12" s="31"/>
      <c r="M12" s="31"/>
      <c r="N12" s="31"/>
      <c r="O12" s="31"/>
      <c r="P12" s="37">
        <f t="shared" si="0"/>
        <v>130</v>
      </c>
      <c r="Q12" s="38">
        <f t="shared" si="1"/>
        <v>1560</v>
      </c>
      <c r="R12" s="37">
        <f t="shared" si="2"/>
        <v>20</v>
      </c>
    </row>
    <row r="13" spans="1:18" x14ac:dyDescent="0.3">
      <c r="A13" s="16" t="s">
        <v>118</v>
      </c>
      <c r="B13" s="16" t="s">
        <v>119</v>
      </c>
      <c r="C13" s="16" t="s">
        <v>120</v>
      </c>
      <c r="D13" s="16" t="s">
        <v>102</v>
      </c>
      <c r="E13" s="26">
        <f>'Store Inventory'!E12</f>
        <v>60</v>
      </c>
      <c r="F13" s="25">
        <f>'Store Inventory'!F12</f>
        <v>55</v>
      </c>
      <c r="G13" s="24">
        <v>35</v>
      </c>
      <c r="H13" s="31"/>
      <c r="I13" s="31"/>
      <c r="J13" s="31"/>
      <c r="K13" s="31"/>
      <c r="L13" s="31"/>
      <c r="M13" s="31"/>
      <c r="N13" s="31"/>
      <c r="O13" s="31"/>
      <c r="P13" s="37">
        <f t="shared" si="0"/>
        <v>35</v>
      </c>
      <c r="Q13" s="38">
        <f t="shared" si="1"/>
        <v>1925</v>
      </c>
      <c r="R13" s="37">
        <f t="shared" si="2"/>
        <v>25</v>
      </c>
    </row>
    <row r="14" spans="1:18" x14ac:dyDescent="0.3">
      <c r="A14" s="16" t="s">
        <v>121</v>
      </c>
      <c r="B14" s="16" t="s">
        <v>122</v>
      </c>
      <c r="C14" s="16" t="s">
        <v>116</v>
      </c>
      <c r="D14" s="16" t="s">
        <v>102</v>
      </c>
      <c r="E14" s="26">
        <f>'Store Inventory'!E13</f>
        <v>20</v>
      </c>
      <c r="F14" s="25">
        <f>'Store Inventory'!F13</f>
        <v>480</v>
      </c>
      <c r="G14" s="24">
        <v>10</v>
      </c>
      <c r="H14" s="31"/>
      <c r="I14" s="31"/>
      <c r="J14" s="31"/>
      <c r="K14" s="31"/>
      <c r="L14" s="31"/>
      <c r="M14" s="31"/>
      <c r="N14" s="31"/>
      <c r="O14" s="31"/>
      <c r="P14" s="37">
        <f t="shared" si="0"/>
        <v>10</v>
      </c>
      <c r="Q14" s="38">
        <f t="shared" si="1"/>
        <v>4800</v>
      </c>
      <c r="R14" s="37">
        <f t="shared" si="2"/>
        <v>10</v>
      </c>
    </row>
    <row r="15" spans="1:18" x14ac:dyDescent="0.3">
      <c r="A15" s="16" t="s">
        <v>123</v>
      </c>
      <c r="B15" s="16" t="s">
        <v>124</v>
      </c>
      <c r="C15" s="16" t="s">
        <v>116</v>
      </c>
      <c r="D15" s="16" t="s">
        <v>117</v>
      </c>
      <c r="E15" s="26">
        <f>'Store Inventory'!E14</f>
        <v>150</v>
      </c>
      <c r="F15" s="25">
        <f>'Store Inventory'!F14</f>
        <v>8</v>
      </c>
      <c r="G15" s="24">
        <v>100</v>
      </c>
      <c r="H15" s="31"/>
      <c r="I15" s="31"/>
      <c r="J15" s="31"/>
      <c r="K15" s="31"/>
      <c r="L15" s="31"/>
      <c r="M15" s="31"/>
      <c r="N15" s="31"/>
      <c r="O15" s="31"/>
      <c r="P15" s="37">
        <f t="shared" si="0"/>
        <v>100</v>
      </c>
      <c r="Q15" s="38">
        <f t="shared" si="1"/>
        <v>800</v>
      </c>
      <c r="R15" s="37">
        <f t="shared" si="2"/>
        <v>50</v>
      </c>
    </row>
    <row r="16" spans="1:18" x14ac:dyDescent="0.3">
      <c r="A16" s="16" t="s">
        <v>125</v>
      </c>
      <c r="B16" s="16" t="s">
        <v>126</v>
      </c>
      <c r="C16" s="16" t="s">
        <v>120</v>
      </c>
      <c r="D16" s="16" t="s">
        <v>102</v>
      </c>
      <c r="E16" s="26">
        <f>'Store Inventory'!E15</f>
        <v>35</v>
      </c>
      <c r="F16" s="25">
        <f>'Store Inventory'!F15</f>
        <v>120</v>
      </c>
      <c r="G16" s="24">
        <v>18</v>
      </c>
      <c r="H16" s="31"/>
      <c r="I16" s="31"/>
      <c r="J16" s="31"/>
      <c r="K16" s="31"/>
      <c r="L16" s="31"/>
      <c r="M16" s="31"/>
      <c r="N16" s="31"/>
      <c r="O16" s="31"/>
      <c r="P16" s="37">
        <f t="shared" si="0"/>
        <v>18</v>
      </c>
      <c r="Q16" s="38">
        <f t="shared" si="1"/>
        <v>2160</v>
      </c>
      <c r="R16" s="37">
        <f t="shared" si="2"/>
        <v>17</v>
      </c>
    </row>
    <row r="17" spans="1:18" x14ac:dyDescent="0.3">
      <c r="A17" s="16" t="s">
        <v>127</v>
      </c>
      <c r="B17" s="16" t="s">
        <v>128</v>
      </c>
      <c r="C17" s="16" t="s">
        <v>120</v>
      </c>
      <c r="D17" s="16" t="s">
        <v>117</v>
      </c>
      <c r="E17" s="26">
        <f>'Store Inventory'!E16</f>
        <v>90</v>
      </c>
      <c r="F17" s="25">
        <f>'Store Inventory'!F16</f>
        <v>15</v>
      </c>
      <c r="G17" s="24">
        <v>55</v>
      </c>
      <c r="H17" s="31"/>
      <c r="I17" s="31"/>
      <c r="J17" s="31"/>
      <c r="K17" s="31"/>
      <c r="L17" s="31"/>
      <c r="M17" s="31"/>
      <c r="N17" s="31"/>
      <c r="O17" s="31"/>
      <c r="P17" s="37">
        <f t="shared" si="0"/>
        <v>55</v>
      </c>
      <c r="Q17" s="38">
        <f t="shared" si="1"/>
        <v>825</v>
      </c>
      <c r="R17" s="37">
        <f t="shared" si="2"/>
        <v>35</v>
      </c>
    </row>
    <row r="18" spans="1:18" x14ac:dyDescent="0.3">
      <c r="A18" s="16" t="s">
        <v>129</v>
      </c>
      <c r="B18" s="16" t="s">
        <v>130</v>
      </c>
      <c r="C18" s="16" t="s">
        <v>131</v>
      </c>
      <c r="D18" s="16" t="s">
        <v>102</v>
      </c>
      <c r="E18" s="26">
        <f>'Store Inventory'!E17</f>
        <v>35</v>
      </c>
      <c r="F18" s="25">
        <f>'Store Inventory'!F17</f>
        <v>220</v>
      </c>
      <c r="G18" s="24">
        <v>20</v>
      </c>
      <c r="H18" s="31"/>
      <c r="I18" s="31"/>
      <c r="J18" s="31"/>
      <c r="K18" s="31"/>
      <c r="L18" s="31"/>
      <c r="M18" s="31"/>
      <c r="N18" s="31"/>
      <c r="O18" s="31"/>
      <c r="P18" s="37">
        <f t="shared" si="0"/>
        <v>20</v>
      </c>
      <c r="Q18" s="38">
        <f t="shared" si="1"/>
        <v>4400</v>
      </c>
      <c r="R18" s="37">
        <f t="shared" si="2"/>
        <v>15</v>
      </c>
    </row>
    <row r="19" spans="1:18" x14ac:dyDescent="0.3">
      <c r="A19" s="16" t="s">
        <v>132</v>
      </c>
      <c r="B19" s="16" t="s">
        <v>133</v>
      </c>
      <c r="C19" s="16" t="s">
        <v>131</v>
      </c>
      <c r="D19" s="16" t="s">
        <v>102</v>
      </c>
      <c r="E19" s="26">
        <f>'Store Inventory'!E18</f>
        <v>35</v>
      </c>
      <c r="F19" s="25">
        <f>'Store Inventory'!F18</f>
        <v>180</v>
      </c>
      <c r="G19" s="24">
        <v>18</v>
      </c>
      <c r="H19" s="31"/>
      <c r="I19" s="31"/>
      <c r="J19" s="31"/>
      <c r="K19" s="31"/>
      <c r="L19" s="31"/>
      <c r="M19" s="31"/>
      <c r="N19" s="31"/>
      <c r="O19" s="31"/>
      <c r="P19" s="37">
        <f t="shared" si="0"/>
        <v>18</v>
      </c>
      <c r="Q19" s="38">
        <f t="shared" si="1"/>
        <v>3240</v>
      </c>
      <c r="R19" s="37">
        <f t="shared" si="2"/>
        <v>17</v>
      </c>
    </row>
    <row r="20" spans="1:18" x14ac:dyDescent="0.3">
      <c r="A20" s="16" t="s">
        <v>134</v>
      </c>
      <c r="B20" s="16" t="s">
        <v>135</v>
      </c>
      <c r="C20" s="16" t="s">
        <v>116</v>
      </c>
      <c r="D20" s="16" t="s">
        <v>102</v>
      </c>
      <c r="E20" s="26">
        <f>'Store Inventory'!E19</f>
        <v>25</v>
      </c>
      <c r="F20" s="25">
        <f>'Store Inventory'!F19</f>
        <v>620</v>
      </c>
      <c r="G20" s="24">
        <v>15</v>
      </c>
      <c r="H20" s="31"/>
      <c r="I20" s="31"/>
      <c r="J20" s="31"/>
      <c r="K20" s="31"/>
      <c r="L20" s="31"/>
      <c r="M20" s="31"/>
      <c r="N20" s="31"/>
      <c r="O20" s="31"/>
      <c r="P20" s="37">
        <f t="shared" si="0"/>
        <v>15</v>
      </c>
      <c r="Q20" s="38">
        <f t="shared" si="1"/>
        <v>9300</v>
      </c>
      <c r="R20" s="37">
        <f t="shared" si="2"/>
        <v>10</v>
      </c>
    </row>
    <row r="21" spans="1:18" x14ac:dyDescent="0.3">
      <c r="A21" s="63" t="s">
        <v>136</v>
      </c>
      <c r="B21" s="63"/>
      <c r="C21" s="63"/>
      <c r="D21" s="63"/>
      <c r="E21" s="63"/>
      <c r="F21" s="63"/>
      <c r="G21" s="63"/>
      <c r="H21" s="63"/>
      <c r="I21" s="63"/>
      <c r="J21" s="63"/>
      <c r="K21" s="63"/>
      <c r="L21" s="63"/>
      <c r="M21" s="63"/>
      <c r="N21" s="63"/>
      <c r="O21" s="63"/>
      <c r="P21" s="63"/>
      <c r="Q21" s="63"/>
      <c r="R21" s="63"/>
    </row>
    <row r="22" spans="1:18" x14ac:dyDescent="0.3">
      <c r="A22" s="16" t="s">
        <v>137</v>
      </c>
      <c r="B22" s="16" t="s">
        <v>138</v>
      </c>
      <c r="C22" s="16" t="s">
        <v>139</v>
      </c>
      <c r="D22" s="16" t="s">
        <v>102</v>
      </c>
      <c r="E22" s="26">
        <f>'Store Inventory'!E21</f>
        <v>25</v>
      </c>
      <c r="F22" s="25">
        <f>'Store Inventory'!F21</f>
        <v>900</v>
      </c>
      <c r="G22" s="24">
        <v>15</v>
      </c>
      <c r="H22" s="31"/>
      <c r="I22" s="31"/>
      <c r="J22" s="31"/>
      <c r="K22" s="31"/>
      <c r="L22" s="31"/>
      <c r="M22" s="31"/>
      <c r="N22" s="31"/>
      <c r="O22" s="31"/>
      <c r="P22" s="37">
        <f t="shared" ref="P22:P32" si="3">SUM(G22:O22)</f>
        <v>15</v>
      </c>
      <c r="Q22" s="38">
        <f t="shared" ref="Q22:Q32" si="4">P22*F22</f>
        <v>13500</v>
      </c>
      <c r="R22" s="37">
        <f t="shared" ref="R22:R32" si="5">E22-P22</f>
        <v>10</v>
      </c>
    </row>
    <row r="23" spans="1:18" x14ac:dyDescent="0.3">
      <c r="A23" s="16" t="s">
        <v>140</v>
      </c>
      <c r="B23" s="16" t="s">
        <v>141</v>
      </c>
      <c r="C23" s="16" t="s">
        <v>139</v>
      </c>
      <c r="D23" s="16" t="s">
        <v>117</v>
      </c>
      <c r="E23" s="26">
        <f>'Store Inventory'!E22</f>
        <v>0</v>
      </c>
      <c r="F23" s="25">
        <f>'Store Inventory'!F22</f>
        <v>3</v>
      </c>
      <c r="G23" s="31"/>
      <c r="H23" s="31"/>
      <c r="I23" s="31"/>
      <c r="J23" s="31"/>
      <c r="K23" s="31"/>
      <c r="L23" s="31"/>
      <c r="M23" s="31"/>
      <c r="N23" s="31"/>
      <c r="O23" s="31"/>
      <c r="P23" s="37">
        <f t="shared" si="3"/>
        <v>0</v>
      </c>
      <c r="Q23" s="38">
        <f t="shared" si="4"/>
        <v>0</v>
      </c>
      <c r="R23" s="37">
        <f t="shared" si="5"/>
        <v>0</v>
      </c>
    </row>
    <row r="24" spans="1:18" x14ac:dyDescent="0.3">
      <c r="A24" s="16" t="s">
        <v>142</v>
      </c>
      <c r="B24" s="16" t="s">
        <v>143</v>
      </c>
      <c r="C24" s="16" t="s">
        <v>139</v>
      </c>
      <c r="D24" s="16" t="s">
        <v>117</v>
      </c>
      <c r="E24" s="26">
        <f>'Store Inventory'!E23</f>
        <v>0</v>
      </c>
      <c r="F24" s="25">
        <f>'Store Inventory'!F23</f>
        <v>4</v>
      </c>
      <c r="G24" s="31"/>
      <c r="H24" s="31"/>
      <c r="I24" s="31"/>
      <c r="J24" s="31"/>
      <c r="K24" s="31"/>
      <c r="L24" s="31"/>
      <c r="M24" s="31"/>
      <c r="N24" s="31"/>
      <c r="O24" s="31"/>
      <c r="P24" s="37">
        <f t="shared" si="3"/>
        <v>0</v>
      </c>
      <c r="Q24" s="38">
        <f t="shared" si="4"/>
        <v>0</v>
      </c>
      <c r="R24" s="37">
        <f t="shared" si="5"/>
        <v>0</v>
      </c>
    </row>
    <row r="25" spans="1:18" x14ac:dyDescent="0.3">
      <c r="A25" s="16" t="s">
        <v>144</v>
      </c>
      <c r="B25" s="16" t="s">
        <v>145</v>
      </c>
      <c r="C25" s="16" t="s">
        <v>146</v>
      </c>
      <c r="D25" s="16" t="s">
        <v>147</v>
      </c>
      <c r="E25" s="26">
        <f>'Store Inventory'!E24</f>
        <v>130</v>
      </c>
      <c r="F25" s="25">
        <f>'Store Inventory'!F24</f>
        <v>65.461538461538467</v>
      </c>
      <c r="G25" s="24">
        <v>45</v>
      </c>
      <c r="H25" s="24">
        <v>40</v>
      </c>
      <c r="I25" s="31"/>
      <c r="J25" s="31"/>
      <c r="K25" s="31"/>
      <c r="L25" s="31"/>
      <c r="M25" s="31"/>
      <c r="N25" s="31"/>
      <c r="O25" s="31"/>
      <c r="P25" s="37">
        <f t="shared" si="3"/>
        <v>85</v>
      </c>
      <c r="Q25" s="38">
        <f t="shared" si="4"/>
        <v>5564.2307692307695</v>
      </c>
      <c r="R25" s="37">
        <f t="shared" si="5"/>
        <v>45</v>
      </c>
    </row>
    <row r="26" spans="1:18" x14ac:dyDescent="0.3">
      <c r="A26" s="16" t="s">
        <v>148</v>
      </c>
      <c r="B26" s="16" t="s">
        <v>149</v>
      </c>
      <c r="C26" s="16" t="s">
        <v>139</v>
      </c>
      <c r="D26" s="16" t="s">
        <v>102</v>
      </c>
      <c r="E26" s="26">
        <f>'Store Inventory'!E25</f>
        <v>0</v>
      </c>
      <c r="F26" s="25">
        <f>'Store Inventory'!F25</f>
        <v>350</v>
      </c>
      <c r="G26" s="31"/>
      <c r="H26" s="31"/>
      <c r="I26" s="31"/>
      <c r="J26" s="31"/>
      <c r="K26" s="31"/>
      <c r="L26" s="31"/>
      <c r="M26" s="31"/>
      <c r="N26" s="31"/>
      <c r="O26" s="31"/>
      <c r="P26" s="37">
        <f t="shared" si="3"/>
        <v>0</v>
      </c>
      <c r="Q26" s="38">
        <f t="shared" si="4"/>
        <v>0</v>
      </c>
      <c r="R26" s="37">
        <f t="shared" si="5"/>
        <v>0</v>
      </c>
    </row>
    <row r="27" spans="1:18" x14ac:dyDescent="0.3">
      <c r="A27" s="16" t="s">
        <v>150</v>
      </c>
      <c r="B27" s="16" t="s">
        <v>151</v>
      </c>
      <c r="C27" s="16" t="s">
        <v>152</v>
      </c>
      <c r="D27" s="16" t="s">
        <v>147</v>
      </c>
      <c r="E27" s="26">
        <f>'Store Inventory'!E26</f>
        <v>12</v>
      </c>
      <c r="F27" s="25">
        <f>'Store Inventory'!F26</f>
        <v>950</v>
      </c>
      <c r="G27" s="24">
        <v>6</v>
      </c>
      <c r="H27" s="31"/>
      <c r="I27" s="31"/>
      <c r="J27" s="31"/>
      <c r="K27" s="31"/>
      <c r="L27" s="31"/>
      <c r="M27" s="31"/>
      <c r="N27" s="31"/>
      <c r="O27" s="31"/>
      <c r="P27" s="37">
        <f t="shared" si="3"/>
        <v>6</v>
      </c>
      <c r="Q27" s="38">
        <f t="shared" si="4"/>
        <v>5700</v>
      </c>
      <c r="R27" s="37">
        <f t="shared" si="5"/>
        <v>6</v>
      </c>
    </row>
    <row r="28" spans="1:18" x14ac:dyDescent="0.3">
      <c r="A28" s="16" t="s">
        <v>153</v>
      </c>
      <c r="B28" s="16" t="s">
        <v>154</v>
      </c>
      <c r="C28" s="16" t="s">
        <v>155</v>
      </c>
      <c r="D28" s="16" t="s">
        <v>102</v>
      </c>
      <c r="E28" s="26">
        <f>'Store Inventory'!E27</f>
        <v>0</v>
      </c>
      <c r="F28" s="25">
        <f>'Store Inventory'!F27</f>
        <v>150</v>
      </c>
      <c r="G28" s="31"/>
      <c r="H28" s="31"/>
      <c r="I28" s="31"/>
      <c r="J28" s="31"/>
      <c r="K28" s="31"/>
      <c r="L28" s="31"/>
      <c r="M28" s="31"/>
      <c r="N28" s="31"/>
      <c r="O28" s="31"/>
      <c r="P28" s="37">
        <f t="shared" si="3"/>
        <v>0</v>
      </c>
      <c r="Q28" s="38">
        <f t="shared" si="4"/>
        <v>0</v>
      </c>
      <c r="R28" s="37">
        <f t="shared" si="5"/>
        <v>0</v>
      </c>
    </row>
    <row r="29" spans="1:18" x14ac:dyDescent="0.3">
      <c r="A29" s="16" t="s">
        <v>156</v>
      </c>
      <c r="B29" s="16" t="s">
        <v>157</v>
      </c>
      <c r="C29" s="16" t="s">
        <v>155</v>
      </c>
      <c r="D29" s="16" t="s">
        <v>102</v>
      </c>
      <c r="E29" s="26">
        <f>'Store Inventory'!E28</f>
        <v>12</v>
      </c>
      <c r="F29" s="25">
        <f>'Store Inventory'!F28</f>
        <v>100</v>
      </c>
      <c r="G29" s="24">
        <v>6</v>
      </c>
      <c r="H29" s="31"/>
      <c r="I29" s="31"/>
      <c r="J29" s="31"/>
      <c r="K29" s="31"/>
      <c r="L29" s="31"/>
      <c r="M29" s="31"/>
      <c r="N29" s="31"/>
      <c r="O29" s="31"/>
      <c r="P29" s="37">
        <f t="shared" si="3"/>
        <v>6</v>
      </c>
      <c r="Q29" s="38">
        <f t="shared" si="4"/>
        <v>600</v>
      </c>
      <c r="R29" s="37">
        <f t="shared" si="5"/>
        <v>6</v>
      </c>
    </row>
    <row r="30" spans="1:18" x14ac:dyDescent="0.3">
      <c r="A30" s="16" t="s">
        <v>158</v>
      </c>
      <c r="B30" s="16" t="s">
        <v>159</v>
      </c>
      <c r="C30" s="16" t="s">
        <v>109</v>
      </c>
      <c r="D30" s="16" t="s">
        <v>102</v>
      </c>
      <c r="E30" s="26">
        <f>'Store Inventory'!E29</f>
        <v>20</v>
      </c>
      <c r="F30" s="25">
        <f>'Store Inventory'!F29</f>
        <v>90</v>
      </c>
      <c r="G30" s="24">
        <v>12</v>
      </c>
      <c r="H30" s="31"/>
      <c r="I30" s="31"/>
      <c r="J30" s="31"/>
      <c r="K30" s="31"/>
      <c r="L30" s="31"/>
      <c r="M30" s="31"/>
      <c r="N30" s="31"/>
      <c r="O30" s="31"/>
      <c r="P30" s="37">
        <f t="shared" si="3"/>
        <v>12</v>
      </c>
      <c r="Q30" s="38">
        <f t="shared" si="4"/>
        <v>1080</v>
      </c>
      <c r="R30" s="37">
        <f t="shared" si="5"/>
        <v>8</v>
      </c>
    </row>
    <row r="31" spans="1:18" x14ac:dyDescent="0.3">
      <c r="A31" s="16" t="s">
        <v>160</v>
      </c>
      <c r="B31" s="16" t="s">
        <v>161</v>
      </c>
      <c r="C31" s="16" t="s">
        <v>162</v>
      </c>
      <c r="D31" s="16" t="s">
        <v>147</v>
      </c>
      <c r="E31" s="26">
        <f>'Store Inventory'!E30</f>
        <v>35</v>
      </c>
      <c r="F31" s="25">
        <f>'Store Inventory'!F30</f>
        <v>45</v>
      </c>
      <c r="G31" s="24">
        <v>18</v>
      </c>
      <c r="H31" s="31"/>
      <c r="I31" s="31"/>
      <c r="J31" s="31"/>
      <c r="K31" s="31"/>
      <c r="L31" s="31"/>
      <c r="M31" s="31"/>
      <c r="N31" s="31"/>
      <c r="O31" s="31"/>
      <c r="P31" s="37">
        <f t="shared" si="3"/>
        <v>18</v>
      </c>
      <c r="Q31" s="38">
        <f t="shared" si="4"/>
        <v>810</v>
      </c>
      <c r="R31" s="37">
        <f t="shared" si="5"/>
        <v>17</v>
      </c>
    </row>
    <row r="32" spans="1:18" x14ac:dyDescent="0.3">
      <c r="A32" s="16" t="s">
        <v>163</v>
      </c>
      <c r="B32" s="16" t="s">
        <v>164</v>
      </c>
      <c r="C32" s="16" t="s">
        <v>165</v>
      </c>
      <c r="D32" s="16" t="s">
        <v>166</v>
      </c>
      <c r="E32" s="26">
        <f>'Store Inventory'!E31</f>
        <v>220</v>
      </c>
      <c r="F32" s="25">
        <f>'Store Inventory'!F31</f>
        <v>35</v>
      </c>
      <c r="G32" s="24">
        <v>150</v>
      </c>
      <c r="H32" s="31"/>
      <c r="I32" s="31"/>
      <c r="J32" s="31"/>
      <c r="K32" s="31"/>
      <c r="L32" s="31"/>
      <c r="M32" s="31"/>
      <c r="N32" s="31"/>
      <c r="O32" s="31"/>
      <c r="P32" s="37">
        <f t="shared" si="3"/>
        <v>150</v>
      </c>
      <c r="Q32" s="38">
        <f t="shared" si="4"/>
        <v>5250</v>
      </c>
      <c r="R32" s="37">
        <f t="shared" si="5"/>
        <v>70</v>
      </c>
    </row>
    <row r="33" spans="1:18" x14ac:dyDescent="0.3">
      <c r="A33" s="63" t="s">
        <v>167</v>
      </c>
      <c r="B33" s="63"/>
      <c r="C33" s="63"/>
      <c r="D33" s="63"/>
      <c r="E33" s="63"/>
      <c r="F33" s="63"/>
      <c r="G33" s="63"/>
      <c r="H33" s="63"/>
      <c r="I33" s="63"/>
      <c r="J33" s="63"/>
      <c r="K33" s="63"/>
      <c r="L33" s="63"/>
      <c r="M33" s="63"/>
      <c r="N33" s="63"/>
      <c r="O33" s="63"/>
      <c r="P33" s="63"/>
      <c r="Q33" s="63"/>
      <c r="R33" s="63"/>
    </row>
    <row r="34" spans="1:18" x14ac:dyDescent="0.3">
      <c r="A34" s="16" t="s">
        <v>168</v>
      </c>
      <c r="B34" s="16" t="s">
        <v>169</v>
      </c>
      <c r="C34" s="16" t="s">
        <v>170</v>
      </c>
      <c r="D34" s="16" t="s">
        <v>117</v>
      </c>
      <c r="E34" s="26">
        <f>'Store Inventory'!E33</f>
        <v>400</v>
      </c>
      <c r="F34" s="25">
        <f>'Store Inventory'!F33</f>
        <v>8</v>
      </c>
      <c r="G34" s="24">
        <v>280</v>
      </c>
      <c r="H34" s="31"/>
      <c r="I34" s="31"/>
      <c r="J34" s="31"/>
      <c r="K34" s="31"/>
      <c r="L34" s="31"/>
      <c r="M34" s="31"/>
      <c r="N34" s="31"/>
      <c r="O34" s="31"/>
      <c r="P34" s="37">
        <f t="shared" ref="P34:P42" si="6">SUM(G34:O34)</f>
        <v>280</v>
      </c>
      <c r="Q34" s="38">
        <f t="shared" ref="Q34:Q42" si="7">P34*F34</f>
        <v>2240</v>
      </c>
      <c r="R34" s="37">
        <f t="shared" ref="R34:R42" si="8">E34-P34</f>
        <v>120</v>
      </c>
    </row>
    <row r="35" spans="1:18" x14ac:dyDescent="0.3">
      <c r="A35" s="16" t="s">
        <v>171</v>
      </c>
      <c r="B35" s="16" t="s">
        <v>172</v>
      </c>
      <c r="C35" s="16" t="s">
        <v>170</v>
      </c>
      <c r="D35" s="16" t="s">
        <v>117</v>
      </c>
      <c r="E35" s="26">
        <f>'Store Inventory'!E34</f>
        <v>300</v>
      </c>
      <c r="F35" s="25">
        <f>'Store Inventory'!F34</f>
        <v>15</v>
      </c>
      <c r="G35" s="24">
        <v>200</v>
      </c>
      <c r="H35" s="31"/>
      <c r="I35" s="31"/>
      <c r="J35" s="31"/>
      <c r="K35" s="31"/>
      <c r="L35" s="31"/>
      <c r="M35" s="31"/>
      <c r="N35" s="31"/>
      <c r="O35" s="31"/>
      <c r="P35" s="37">
        <f t="shared" si="6"/>
        <v>200</v>
      </c>
      <c r="Q35" s="38">
        <f t="shared" si="7"/>
        <v>3000</v>
      </c>
      <c r="R35" s="37">
        <f t="shared" si="8"/>
        <v>100</v>
      </c>
    </row>
    <row r="36" spans="1:18" x14ac:dyDescent="0.3">
      <c r="A36" s="16" t="s">
        <v>173</v>
      </c>
      <c r="B36" s="16" t="s">
        <v>174</v>
      </c>
      <c r="C36" s="16" t="s">
        <v>175</v>
      </c>
      <c r="D36" s="16" t="s">
        <v>117</v>
      </c>
      <c r="E36" s="26">
        <f>'Store Inventory'!E35</f>
        <v>0</v>
      </c>
      <c r="F36" s="25">
        <f>'Store Inventory'!F35</f>
        <v>1</v>
      </c>
      <c r="G36" s="31"/>
      <c r="H36" s="31"/>
      <c r="I36" s="31"/>
      <c r="J36" s="31"/>
      <c r="K36" s="31"/>
      <c r="L36" s="31"/>
      <c r="M36" s="31"/>
      <c r="N36" s="31"/>
      <c r="O36" s="31"/>
      <c r="P36" s="37">
        <f t="shared" si="6"/>
        <v>0</v>
      </c>
      <c r="Q36" s="38">
        <f t="shared" si="7"/>
        <v>0</v>
      </c>
      <c r="R36" s="37">
        <f t="shared" si="8"/>
        <v>0</v>
      </c>
    </row>
    <row r="37" spans="1:18" x14ac:dyDescent="0.3">
      <c r="A37" s="16" t="s">
        <v>176</v>
      </c>
      <c r="B37" s="16" t="s">
        <v>177</v>
      </c>
      <c r="C37" s="16" t="s">
        <v>175</v>
      </c>
      <c r="D37" s="16" t="s">
        <v>117</v>
      </c>
      <c r="E37" s="26">
        <f>'Store Inventory'!E36</f>
        <v>0</v>
      </c>
      <c r="F37" s="25">
        <f>'Store Inventory'!F36</f>
        <v>1</v>
      </c>
      <c r="G37" s="31"/>
      <c r="H37" s="31"/>
      <c r="I37" s="31"/>
      <c r="J37" s="31"/>
      <c r="K37" s="31"/>
      <c r="L37" s="31"/>
      <c r="M37" s="31"/>
      <c r="N37" s="31"/>
      <c r="O37" s="31"/>
      <c r="P37" s="37">
        <f t="shared" si="6"/>
        <v>0</v>
      </c>
      <c r="Q37" s="38">
        <f t="shared" si="7"/>
        <v>0</v>
      </c>
      <c r="R37" s="37">
        <f t="shared" si="8"/>
        <v>0</v>
      </c>
    </row>
    <row r="38" spans="1:18" x14ac:dyDescent="0.3">
      <c r="A38" s="16" t="s">
        <v>178</v>
      </c>
      <c r="B38" s="16" t="s">
        <v>179</v>
      </c>
      <c r="C38" s="16" t="s">
        <v>180</v>
      </c>
      <c r="D38" s="16" t="s">
        <v>102</v>
      </c>
      <c r="E38" s="26">
        <f>'Store Inventory'!E37</f>
        <v>45</v>
      </c>
      <c r="F38" s="25">
        <f>'Store Inventory'!F37</f>
        <v>60</v>
      </c>
      <c r="G38" s="24">
        <v>20</v>
      </c>
      <c r="H38" s="31"/>
      <c r="I38" s="31"/>
      <c r="J38" s="31"/>
      <c r="K38" s="31"/>
      <c r="L38" s="31"/>
      <c r="M38" s="31"/>
      <c r="N38" s="31"/>
      <c r="O38" s="31"/>
      <c r="P38" s="37">
        <f t="shared" si="6"/>
        <v>20</v>
      </c>
      <c r="Q38" s="38">
        <f t="shared" si="7"/>
        <v>1200</v>
      </c>
      <c r="R38" s="37">
        <f t="shared" si="8"/>
        <v>25</v>
      </c>
    </row>
    <row r="39" spans="1:18" x14ac:dyDescent="0.3">
      <c r="A39" s="16" t="s">
        <v>181</v>
      </c>
      <c r="B39" s="16" t="s">
        <v>182</v>
      </c>
      <c r="C39" s="16" t="s">
        <v>180</v>
      </c>
      <c r="D39" s="16" t="s">
        <v>102</v>
      </c>
      <c r="E39" s="26">
        <f>'Store Inventory'!E38</f>
        <v>0</v>
      </c>
      <c r="F39" s="25">
        <f>'Store Inventory'!F38</f>
        <v>25</v>
      </c>
      <c r="G39" s="31"/>
      <c r="H39" s="31"/>
      <c r="I39" s="31"/>
      <c r="J39" s="31"/>
      <c r="K39" s="31"/>
      <c r="L39" s="31"/>
      <c r="M39" s="31"/>
      <c r="N39" s="31"/>
      <c r="O39" s="31"/>
      <c r="P39" s="37">
        <f t="shared" si="6"/>
        <v>0</v>
      </c>
      <c r="Q39" s="38">
        <f t="shared" si="7"/>
        <v>0</v>
      </c>
      <c r="R39" s="37">
        <f t="shared" si="8"/>
        <v>0</v>
      </c>
    </row>
    <row r="40" spans="1:18" x14ac:dyDescent="0.3">
      <c r="A40" s="16" t="s">
        <v>183</v>
      </c>
      <c r="B40" s="16" t="s">
        <v>184</v>
      </c>
      <c r="C40" s="16" t="s">
        <v>180</v>
      </c>
      <c r="D40" s="16" t="s">
        <v>147</v>
      </c>
      <c r="E40" s="26">
        <f>'Store Inventory'!E39</f>
        <v>45</v>
      </c>
      <c r="F40" s="25">
        <f>'Store Inventory'!F39</f>
        <v>150</v>
      </c>
      <c r="G40" s="24">
        <v>18</v>
      </c>
      <c r="H40" s="31"/>
      <c r="I40" s="31"/>
      <c r="J40" s="31"/>
      <c r="K40" s="31"/>
      <c r="L40" s="31"/>
      <c r="M40" s="31"/>
      <c r="N40" s="31"/>
      <c r="O40" s="31"/>
      <c r="P40" s="37">
        <f t="shared" si="6"/>
        <v>18</v>
      </c>
      <c r="Q40" s="38">
        <f t="shared" si="7"/>
        <v>2700</v>
      </c>
      <c r="R40" s="37">
        <f t="shared" si="8"/>
        <v>27</v>
      </c>
    </row>
    <row r="41" spans="1:18" x14ac:dyDescent="0.3">
      <c r="A41" s="16" t="s">
        <v>185</v>
      </c>
      <c r="B41" s="16" t="s">
        <v>186</v>
      </c>
      <c r="C41" s="16" t="s">
        <v>180</v>
      </c>
      <c r="D41" s="16" t="s">
        <v>102</v>
      </c>
      <c r="E41" s="26">
        <f>'Store Inventory'!E40</f>
        <v>12</v>
      </c>
      <c r="F41" s="25">
        <f>'Store Inventory'!F40</f>
        <v>400</v>
      </c>
      <c r="G41" s="24">
        <v>8</v>
      </c>
      <c r="H41" s="31"/>
      <c r="I41" s="31"/>
      <c r="J41" s="31"/>
      <c r="K41" s="31"/>
      <c r="L41" s="31"/>
      <c r="M41" s="31"/>
      <c r="N41" s="31"/>
      <c r="O41" s="31"/>
      <c r="P41" s="37">
        <f t="shared" si="6"/>
        <v>8</v>
      </c>
      <c r="Q41" s="38">
        <f t="shared" si="7"/>
        <v>3200</v>
      </c>
      <c r="R41" s="37">
        <f t="shared" si="8"/>
        <v>4</v>
      </c>
    </row>
    <row r="42" spans="1:18" x14ac:dyDescent="0.3">
      <c r="A42" s="16" t="s">
        <v>187</v>
      </c>
      <c r="B42" s="16" t="s">
        <v>188</v>
      </c>
      <c r="C42" s="16" t="s">
        <v>180</v>
      </c>
      <c r="D42" s="16" t="s">
        <v>102</v>
      </c>
      <c r="E42" s="26">
        <f>'Store Inventory'!E41</f>
        <v>0</v>
      </c>
      <c r="F42" s="25">
        <f>'Store Inventory'!F41</f>
        <v>500</v>
      </c>
      <c r="G42" s="31"/>
      <c r="H42" s="31"/>
      <c r="I42" s="31"/>
      <c r="J42" s="31"/>
      <c r="K42" s="31"/>
      <c r="L42" s="31"/>
      <c r="M42" s="31"/>
      <c r="N42" s="31"/>
      <c r="O42" s="31"/>
      <c r="P42" s="37">
        <f t="shared" si="6"/>
        <v>0</v>
      </c>
      <c r="Q42" s="38">
        <f t="shared" si="7"/>
        <v>0</v>
      </c>
      <c r="R42" s="37">
        <f t="shared" si="8"/>
        <v>0</v>
      </c>
    </row>
    <row r="44" spans="1:18" x14ac:dyDescent="0.3">
      <c r="A44" s="43" t="s">
        <v>502</v>
      </c>
    </row>
    <row r="45" spans="1:18" x14ac:dyDescent="0.3">
      <c r="A45" s="44" t="s">
        <v>503</v>
      </c>
      <c r="G45" s="45">
        <f t="shared" ref="G45:O45" si="9">G$3</f>
        <v>46207</v>
      </c>
      <c r="H45" s="45">
        <f t="shared" si="9"/>
        <v>46219</v>
      </c>
      <c r="I45" s="45" t="str">
        <f t="shared" si="9"/>
        <v>Insert Date</v>
      </c>
      <c r="J45" s="45" t="str">
        <f t="shared" si="9"/>
        <v>Insert Date</v>
      </c>
      <c r="K45" s="45" t="str">
        <f t="shared" si="9"/>
        <v>Insert Date</v>
      </c>
      <c r="L45" s="45" t="str">
        <f t="shared" si="9"/>
        <v>Insert Date</v>
      </c>
      <c r="M45" s="45" t="str">
        <f t="shared" si="9"/>
        <v>Insert Date</v>
      </c>
      <c r="N45" s="45" t="str">
        <f t="shared" si="9"/>
        <v>Insert Date</v>
      </c>
      <c r="O45" s="45" t="str">
        <f t="shared" si="9"/>
        <v>Insert Date</v>
      </c>
    </row>
    <row r="46" spans="1:18" x14ac:dyDescent="0.3">
      <c r="A46" s="44" t="s">
        <v>504</v>
      </c>
      <c r="G46" s="46">
        <f t="shared" ref="G46:O46" si="10">SUMPRODUCT((LEFT($A$5:$A$42,2)="FD")*G$5:G$42*$F$5:$F$42)</f>
        <v>57137.058823529413</v>
      </c>
      <c r="H46" s="46">
        <f t="shared" si="10"/>
        <v>17916.313725490196</v>
      </c>
      <c r="I46" s="46">
        <f t="shared" si="10"/>
        <v>0</v>
      </c>
      <c r="J46" s="46">
        <f t="shared" si="10"/>
        <v>0</v>
      </c>
      <c r="K46" s="46">
        <f t="shared" si="10"/>
        <v>0</v>
      </c>
      <c r="L46" s="46">
        <f t="shared" si="10"/>
        <v>0</v>
      </c>
      <c r="M46" s="46">
        <f t="shared" si="10"/>
        <v>0</v>
      </c>
      <c r="N46" s="46">
        <f t="shared" si="10"/>
        <v>0</v>
      </c>
      <c r="O46" s="46">
        <f t="shared" si="10"/>
        <v>0</v>
      </c>
    </row>
    <row r="47" spans="1:18" x14ac:dyDescent="0.3">
      <c r="A47" s="44" t="s">
        <v>505</v>
      </c>
      <c r="G47" s="46">
        <f t="shared" ref="G47:O47" si="11">SUMPRODUCT((LEFT($A$5:$A$42,2)="BV")*G$5:G$42*$F$5:$F$42)</f>
        <v>29885.76923076923</v>
      </c>
      <c r="H47" s="46">
        <f t="shared" si="11"/>
        <v>2618.4615384615386</v>
      </c>
      <c r="I47" s="46">
        <f t="shared" si="11"/>
        <v>0</v>
      </c>
      <c r="J47" s="46">
        <f t="shared" si="11"/>
        <v>0</v>
      </c>
      <c r="K47" s="46">
        <f t="shared" si="11"/>
        <v>0</v>
      </c>
      <c r="L47" s="46">
        <f t="shared" si="11"/>
        <v>0</v>
      </c>
      <c r="M47" s="46">
        <f t="shared" si="11"/>
        <v>0</v>
      </c>
      <c r="N47" s="46">
        <f t="shared" si="11"/>
        <v>0</v>
      </c>
      <c r="O47" s="46">
        <f t="shared" si="11"/>
        <v>0</v>
      </c>
    </row>
  </sheetData>
  <mergeCells count="5">
    <mergeCell ref="A1:J1"/>
    <mergeCell ref="A2:J2"/>
    <mergeCell ref="A5:R5"/>
    <mergeCell ref="A21:R21"/>
    <mergeCell ref="A33:R3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971C"/>
  </sheetPr>
  <dimension ref="A1:R42"/>
  <sheetViews>
    <sheetView showGridLines="0" zoomScaleNormal="100" workbookViewId="0">
      <pane xSplit="5" ySplit="4" topLeftCell="F5" activePane="bottomRight" state="frozen"/>
      <selection pane="topRight" activeCell="F1" sqref="F1"/>
      <selection pane="bottomLeft" activeCell="A5" sqref="A5"/>
      <selection pane="bottomRight" activeCell="B6" sqref="B6"/>
    </sheetView>
  </sheetViews>
  <sheetFormatPr defaultColWidth="8.6640625" defaultRowHeight="14.4" x14ac:dyDescent="0.3"/>
  <cols>
    <col min="1" max="1" width="11" customWidth="1"/>
    <col min="2" max="2" width="26" customWidth="1"/>
    <col min="3" max="3" width="18" customWidth="1"/>
    <col min="4" max="4" width="8" customWidth="1"/>
    <col min="5" max="5" width="12" customWidth="1"/>
    <col min="6" max="14" width="9" customWidth="1"/>
    <col min="15" max="18" width="13" customWidth="1"/>
  </cols>
  <sheetData>
    <row r="1" spans="1:18" ht="25.5" customHeight="1" x14ac:dyDescent="0.3">
      <c r="A1" s="14" t="s">
        <v>506</v>
      </c>
      <c r="B1" s="14"/>
      <c r="C1" s="14"/>
      <c r="D1" s="14"/>
      <c r="E1" s="14"/>
      <c r="F1" s="14"/>
      <c r="G1" s="14"/>
      <c r="H1" s="14"/>
      <c r="I1" s="14"/>
      <c r="J1" s="14"/>
    </row>
    <row r="2" spans="1:18" x14ac:dyDescent="0.3">
      <c r="A2" s="13" t="s">
        <v>507</v>
      </c>
      <c r="B2" s="13"/>
      <c r="C2" s="13"/>
      <c r="D2" s="13"/>
      <c r="E2" s="13"/>
      <c r="F2" s="13"/>
      <c r="G2" s="13"/>
      <c r="H2" s="13"/>
      <c r="I2" s="13"/>
      <c r="J2" s="13"/>
    </row>
    <row r="3" spans="1:18" x14ac:dyDescent="0.3">
      <c r="F3" s="41">
        <v>46207</v>
      </c>
      <c r="G3" s="41">
        <v>46219</v>
      </c>
      <c r="H3" s="42" t="s">
        <v>410</v>
      </c>
      <c r="I3" s="42" t="s">
        <v>410</v>
      </c>
      <c r="J3" s="42" t="s">
        <v>410</v>
      </c>
      <c r="K3" s="42" t="s">
        <v>410</v>
      </c>
      <c r="L3" s="42" t="s">
        <v>410</v>
      </c>
      <c r="M3" s="42" t="s">
        <v>410</v>
      </c>
      <c r="N3" s="42" t="s">
        <v>410</v>
      </c>
    </row>
    <row r="4" spans="1:18" ht="30" customHeight="1" x14ac:dyDescent="0.3">
      <c r="A4" s="15" t="s">
        <v>93</v>
      </c>
      <c r="B4" s="15" t="s">
        <v>94</v>
      </c>
      <c r="C4" s="15" t="s">
        <v>95</v>
      </c>
      <c r="D4" s="15" t="s">
        <v>96</v>
      </c>
      <c r="E4" s="15" t="s">
        <v>444</v>
      </c>
      <c r="F4" s="15" t="s">
        <v>508</v>
      </c>
      <c r="G4" s="15" t="s">
        <v>509</v>
      </c>
      <c r="H4" s="15" t="s">
        <v>510</v>
      </c>
      <c r="I4" s="15" t="s">
        <v>511</v>
      </c>
      <c r="J4" s="15" t="s">
        <v>512</v>
      </c>
      <c r="K4" s="15" t="s">
        <v>513</v>
      </c>
      <c r="L4" s="15" t="s">
        <v>514</v>
      </c>
      <c r="M4" s="15" t="s">
        <v>515</v>
      </c>
      <c r="N4" s="15" t="s">
        <v>516</v>
      </c>
      <c r="O4" s="15" t="s">
        <v>517</v>
      </c>
      <c r="P4" s="15" t="s">
        <v>31</v>
      </c>
      <c r="Q4" s="15" t="s">
        <v>475</v>
      </c>
      <c r="R4" s="15" t="s">
        <v>518</v>
      </c>
    </row>
    <row r="5" spans="1:18" x14ac:dyDescent="0.3">
      <c r="A5" s="63" t="s">
        <v>98</v>
      </c>
      <c r="B5" s="63"/>
      <c r="C5" s="63"/>
      <c r="D5" s="63"/>
      <c r="E5" s="63"/>
      <c r="F5" s="63"/>
      <c r="G5" s="63"/>
      <c r="H5" s="63"/>
      <c r="I5" s="63"/>
      <c r="J5" s="63"/>
      <c r="K5" s="63"/>
      <c r="L5" s="63"/>
      <c r="M5" s="63"/>
      <c r="N5" s="63"/>
      <c r="O5" s="63"/>
      <c r="P5" s="63"/>
      <c r="Q5" s="63"/>
      <c r="R5" s="63"/>
    </row>
    <row r="6" spans="1:18" x14ac:dyDescent="0.3">
      <c r="A6" s="16" t="s">
        <v>99</v>
      </c>
      <c r="B6" s="16" t="s">
        <v>100</v>
      </c>
      <c r="C6" s="16" t="s">
        <v>101</v>
      </c>
      <c r="D6" s="16" t="s">
        <v>102</v>
      </c>
      <c r="E6" s="24">
        <v>0</v>
      </c>
      <c r="F6" s="24">
        <v>20</v>
      </c>
      <c r="G6" s="24">
        <v>16</v>
      </c>
      <c r="H6" s="31"/>
      <c r="I6" s="31"/>
      <c r="J6" s="31"/>
      <c r="K6" s="31"/>
      <c r="L6" s="31"/>
      <c r="M6" s="31"/>
      <c r="N6" s="31"/>
      <c r="O6" s="37">
        <f t="shared" ref="O6:O20" si="0">SUM(F6:N6)</f>
        <v>36</v>
      </c>
      <c r="P6" s="37">
        <f t="shared" ref="P6:P20" si="1">E6+O6</f>
        <v>36</v>
      </c>
      <c r="Q6" s="25">
        <f>'Store Issue'!F6</f>
        <v>557.35294117647061</v>
      </c>
      <c r="R6" s="38">
        <f t="shared" ref="R6:R20" si="2">P6*Q6</f>
        <v>20064.705882352941</v>
      </c>
    </row>
    <row r="7" spans="1:18" x14ac:dyDescent="0.3">
      <c r="A7" s="16" t="s">
        <v>103</v>
      </c>
      <c r="B7" s="16" t="s">
        <v>104</v>
      </c>
      <c r="C7" s="16" t="s">
        <v>101</v>
      </c>
      <c r="D7" s="16" t="s">
        <v>102</v>
      </c>
      <c r="E7" s="24">
        <v>0</v>
      </c>
      <c r="F7" s="24">
        <v>18</v>
      </c>
      <c r="G7" s="24">
        <v>16</v>
      </c>
      <c r="H7" s="31"/>
      <c r="I7" s="31"/>
      <c r="J7" s="31"/>
      <c r="K7" s="31"/>
      <c r="L7" s="31"/>
      <c r="M7" s="31"/>
      <c r="N7" s="31"/>
      <c r="O7" s="37">
        <f t="shared" si="0"/>
        <v>34</v>
      </c>
      <c r="P7" s="37">
        <f t="shared" si="1"/>
        <v>34</v>
      </c>
      <c r="Q7" s="25">
        <f>'Store Issue'!F7</f>
        <v>482.66666666666669</v>
      </c>
      <c r="R7" s="38">
        <f t="shared" si="2"/>
        <v>16410.666666666668</v>
      </c>
    </row>
    <row r="8" spans="1:18" x14ac:dyDescent="0.3">
      <c r="A8" s="16" t="s">
        <v>105</v>
      </c>
      <c r="B8" s="16" t="s">
        <v>106</v>
      </c>
      <c r="C8" s="16" t="s">
        <v>101</v>
      </c>
      <c r="D8" s="16" t="s">
        <v>102</v>
      </c>
      <c r="E8" s="24">
        <v>0</v>
      </c>
      <c r="F8" s="24">
        <v>10</v>
      </c>
      <c r="G8" s="31"/>
      <c r="H8" s="31"/>
      <c r="I8" s="31"/>
      <c r="J8" s="31"/>
      <c r="K8" s="31"/>
      <c r="L8" s="31"/>
      <c r="M8" s="31"/>
      <c r="N8" s="31"/>
      <c r="O8" s="37">
        <f t="shared" si="0"/>
        <v>10</v>
      </c>
      <c r="P8" s="37">
        <f t="shared" si="1"/>
        <v>10</v>
      </c>
      <c r="Q8" s="25">
        <f>'Store Issue'!F8</f>
        <v>650</v>
      </c>
      <c r="R8" s="38">
        <f t="shared" si="2"/>
        <v>6500</v>
      </c>
    </row>
    <row r="9" spans="1:18" x14ac:dyDescent="0.3">
      <c r="A9" s="16" t="s">
        <v>107</v>
      </c>
      <c r="B9" s="16" t="s">
        <v>108</v>
      </c>
      <c r="C9" s="16" t="s">
        <v>109</v>
      </c>
      <c r="D9" s="16" t="s">
        <v>102</v>
      </c>
      <c r="E9" s="24">
        <v>0</v>
      </c>
      <c r="F9" s="24">
        <v>12</v>
      </c>
      <c r="G9" s="24">
        <v>11</v>
      </c>
      <c r="H9" s="31"/>
      <c r="I9" s="31"/>
      <c r="J9" s="31"/>
      <c r="K9" s="31"/>
      <c r="L9" s="31"/>
      <c r="M9" s="31"/>
      <c r="N9" s="31"/>
      <c r="O9" s="37">
        <f t="shared" si="0"/>
        <v>23</v>
      </c>
      <c r="P9" s="37">
        <f t="shared" si="1"/>
        <v>23</v>
      </c>
      <c r="Q9" s="25">
        <f>'Store Issue'!F9</f>
        <v>60</v>
      </c>
      <c r="R9" s="38">
        <f t="shared" si="2"/>
        <v>1380</v>
      </c>
    </row>
    <row r="10" spans="1:18" x14ac:dyDescent="0.3">
      <c r="A10" s="16" t="s">
        <v>110</v>
      </c>
      <c r="B10" s="16" t="s">
        <v>111</v>
      </c>
      <c r="C10" s="16" t="s">
        <v>109</v>
      </c>
      <c r="D10" s="16" t="s">
        <v>102</v>
      </c>
      <c r="E10" s="24">
        <v>0</v>
      </c>
      <c r="F10" s="24">
        <v>12</v>
      </c>
      <c r="G10" s="24">
        <v>11</v>
      </c>
      <c r="H10" s="31"/>
      <c r="I10" s="31"/>
      <c r="J10" s="31"/>
      <c r="K10" s="31"/>
      <c r="L10" s="31"/>
      <c r="M10" s="31"/>
      <c r="N10" s="31"/>
      <c r="O10" s="37">
        <f t="shared" si="0"/>
        <v>23</v>
      </c>
      <c r="P10" s="37">
        <f t="shared" si="1"/>
        <v>23</v>
      </c>
      <c r="Q10" s="25">
        <f>'Store Issue'!F10</f>
        <v>56</v>
      </c>
      <c r="R10" s="38">
        <f t="shared" si="2"/>
        <v>1288</v>
      </c>
    </row>
    <row r="11" spans="1:18" x14ac:dyDescent="0.3">
      <c r="A11" s="16" t="s">
        <v>112</v>
      </c>
      <c r="B11" s="16" t="s">
        <v>113</v>
      </c>
      <c r="C11" s="16" t="s">
        <v>109</v>
      </c>
      <c r="D11" s="16" t="s">
        <v>102</v>
      </c>
      <c r="E11" s="24">
        <v>0</v>
      </c>
      <c r="F11" s="24">
        <v>10</v>
      </c>
      <c r="G11" s="31"/>
      <c r="H11" s="31"/>
      <c r="I11" s="31"/>
      <c r="J11" s="31"/>
      <c r="K11" s="31"/>
      <c r="L11" s="31"/>
      <c r="M11" s="31"/>
      <c r="N11" s="31"/>
      <c r="O11" s="37">
        <f t="shared" si="0"/>
        <v>10</v>
      </c>
      <c r="P11" s="37">
        <f t="shared" si="1"/>
        <v>10</v>
      </c>
      <c r="Q11" s="25">
        <f>'Store Issue'!F11</f>
        <v>40</v>
      </c>
      <c r="R11" s="38">
        <f t="shared" si="2"/>
        <v>400</v>
      </c>
    </row>
    <row r="12" spans="1:18" x14ac:dyDescent="0.3">
      <c r="A12" s="16" t="s">
        <v>114</v>
      </c>
      <c r="B12" s="16" t="s">
        <v>115</v>
      </c>
      <c r="C12" s="16" t="s">
        <v>116</v>
      </c>
      <c r="D12" s="16" t="s">
        <v>117</v>
      </c>
      <c r="E12" s="24">
        <v>0</v>
      </c>
      <c r="F12" s="24">
        <v>130</v>
      </c>
      <c r="G12" s="31"/>
      <c r="H12" s="31"/>
      <c r="I12" s="31"/>
      <c r="J12" s="31"/>
      <c r="K12" s="31"/>
      <c r="L12" s="31"/>
      <c r="M12" s="31"/>
      <c r="N12" s="31"/>
      <c r="O12" s="37">
        <f t="shared" si="0"/>
        <v>130</v>
      </c>
      <c r="P12" s="37">
        <f t="shared" si="1"/>
        <v>130</v>
      </c>
      <c r="Q12" s="25">
        <f>'Store Issue'!F12</f>
        <v>12</v>
      </c>
      <c r="R12" s="38">
        <f t="shared" si="2"/>
        <v>1560</v>
      </c>
    </row>
    <row r="13" spans="1:18" x14ac:dyDescent="0.3">
      <c r="A13" s="16" t="s">
        <v>118</v>
      </c>
      <c r="B13" s="16" t="s">
        <v>119</v>
      </c>
      <c r="C13" s="16" t="s">
        <v>120</v>
      </c>
      <c r="D13" s="16" t="s">
        <v>102</v>
      </c>
      <c r="E13" s="24">
        <v>0</v>
      </c>
      <c r="F13" s="24">
        <v>35</v>
      </c>
      <c r="G13" s="31"/>
      <c r="H13" s="31"/>
      <c r="I13" s="31"/>
      <c r="J13" s="31"/>
      <c r="K13" s="31"/>
      <c r="L13" s="31"/>
      <c r="M13" s="31"/>
      <c r="N13" s="31"/>
      <c r="O13" s="37">
        <f t="shared" si="0"/>
        <v>35</v>
      </c>
      <c r="P13" s="37">
        <f t="shared" si="1"/>
        <v>35</v>
      </c>
      <c r="Q13" s="25">
        <f>'Store Issue'!F13</f>
        <v>55</v>
      </c>
      <c r="R13" s="38">
        <f t="shared" si="2"/>
        <v>1925</v>
      </c>
    </row>
    <row r="14" spans="1:18" x14ac:dyDescent="0.3">
      <c r="A14" s="16" t="s">
        <v>121</v>
      </c>
      <c r="B14" s="16" t="s">
        <v>122</v>
      </c>
      <c r="C14" s="16" t="s">
        <v>116</v>
      </c>
      <c r="D14" s="16" t="s">
        <v>102</v>
      </c>
      <c r="E14" s="24">
        <v>0</v>
      </c>
      <c r="F14" s="24">
        <v>10</v>
      </c>
      <c r="G14" s="31"/>
      <c r="H14" s="31"/>
      <c r="I14" s="31"/>
      <c r="J14" s="31"/>
      <c r="K14" s="31"/>
      <c r="L14" s="31"/>
      <c r="M14" s="31"/>
      <c r="N14" s="31"/>
      <c r="O14" s="37">
        <f t="shared" si="0"/>
        <v>10</v>
      </c>
      <c r="P14" s="37">
        <f t="shared" si="1"/>
        <v>10</v>
      </c>
      <c r="Q14" s="25">
        <f>'Store Issue'!F14</f>
        <v>480</v>
      </c>
      <c r="R14" s="38">
        <f t="shared" si="2"/>
        <v>4800</v>
      </c>
    </row>
    <row r="15" spans="1:18" x14ac:dyDescent="0.3">
      <c r="A15" s="16" t="s">
        <v>123</v>
      </c>
      <c r="B15" s="16" t="s">
        <v>124</v>
      </c>
      <c r="C15" s="16" t="s">
        <v>116</v>
      </c>
      <c r="D15" s="16" t="s">
        <v>117</v>
      </c>
      <c r="E15" s="24">
        <v>0</v>
      </c>
      <c r="F15" s="24">
        <v>100</v>
      </c>
      <c r="G15" s="31"/>
      <c r="H15" s="31"/>
      <c r="I15" s="31"/>
      <c r="J15" s="31"/>
      <c r="K15" s="31"/>
      <c r="L15" s="31"/>
      <c r="M15" s="31"/>
      <c r="N15" s="31"/>
      <c r="O15" s="37">
        <f t="shared" si="0"/>
        <v>100</v>
      </c>
      <c r="P15" s="37">
        <f t="shared" si="1"/>
        <v>100</v>
      </c>
      <c r="Q15" s="25">
        <f>'Store Issue'!F15</f>
        <v>8</v>
      </c>
      <c r="R15" s="38">
        <f t="shared" si="2"/>
        <v>800</v>
      </c>
    </row>
    <row r="16" spans="1:18" x14ac:dyDescent="0.3">
      <c r="A16" s="16" t="s">
        <v>125</v>
      </c>
      <c r="B16" s="16" t="s">
        <v>126</v>
      </c>
      <c r="C16" s="16" t="s">
        <v>120</v>
      </c>
      <c r="D16" s="16" t="s">
        <v>102</v>
      </c>
      <c r="E16" s="24">
        <v>0</v>
      </c>
      <c r="F16" s="24">
        <v>18</v>
      </c>
      <c r="G16" s="31"/>
      <c r="H16" s="31"/>
      <c r="I16" s="31"/>
      <c r="J16" s="31"/>
      <c r="K16" s="31"/>
      <c r="L16" s="31"/>
      <c r="M16" s="31"/>
      <c r="N16" s="31"/>
      <c r="O16" s="37">
        <f t="shared" si="0"/>
        <v>18</v>
      </c>
      <c r="P16" s="37">
        <f t="shared" si="1"/>
        <v>18</v>
      </c>
      <c r="Q16" s="25">
        <f>'Store Issue'!F16</f>
        <v>120</v>
      </c>
      <c r="R16" s="38">
        <f t="shared" si="2"/>
        <v>2160</v>
      </c>
    </row>
    <row r="17" spans="1:18" x14ac:dyDescent="0.3">
      <c r="A17" s="16" t="s">
        <v>127</v>
      </c>
      <c r="B17" s="16" t="s">
        <v>128</v>
      </c>
      <c r="C17" s="16" t="s">
        <v>120</v>
      </c>
      <c r="D17" s="16" t="s">
        <v>117</v>
      </c>
      <c r="E17" s="24">
        <v>0</v>
      </c>
      <c r="F17" s="24">
        <v>55</v>
      </c>
      <c r="G17" s="31"/>
      <c r="H17" s="31"/>
      <c r="I17" s="31"/>
      <c r="J17" s="31"/>
      <c r="K17" s="31"/>
      <c r="L17" s="31"/>
      <c r="M17" s="31"/>
      <c r="N17" s="31"/>
      <c r="O17" s="37">
        <f t="shared" si="0"/>
        <v>55</v>
      </c>
      <c r="P17" s="37">
        <f t="shared" si="1"/>
        <v>55</v>
      </c>
      <c r="Q17" s="25">
        <f>'Store Issue'!F17</f>
        <v>15</v>
      </c>
      <c r="R17" s="38">
        <f t="shared" si="2"/>
        <v>825</v>
      </c>
    </row>
    <row r="18" spans="1:18" x14ac:dyDescent="0.3">
      <c r="A18" s="16" t="s">
        <v>129</v>
      </c>
      <c r="B18" s="16" t="s">
        <v>130</v>
      </c>
      <c r="C18" s="16" t="s">
        <v>131</v>
      </c>
      <c r="D18" s="16" t="s">
        <v>102</v>
      </c>
      <c r="E18" s="24">
        <v>0</v>
      </c>
      <c r="F18" s="24">
        <v>20</v>
      </c>
      <c r="G18" s="31"/>
      <c r="H18" s="31"/>
      <c r="I18" s="31"/>
      <c r="J18" s="31"/>
      <c r="K18" s="31"/>
      <c r="L18" s="31"/>
      <c r="M18" s="31"/>
      <c r="N18" s="31"/>
      <c r="O18" s="37">
        <f t="shared" si="0"/>
        <v>20</v>
      </c>
      <c r="P18" s="37">
        <f t="shared" si="1"/>
        <v>20</v>
      </c>
      <c r="Q18" s="25">
        <f>'Store Issue'!F18</f>
        <v>220</v>
      </c>
      <c r="R18" s="38">
        <f t="shared" si="2"/>
        <v>4400</v>
      </c>
    </row>
    <row r="19" spans="1:18" x14ac:dyDescent="0.3">
      <c r="A19" s="16" t="s">
        <v>132</v>
      </c>
      <c r="B19" s="16" t="s">
        <v>133</v>
      </c>
      <c r="C19" s="16" t="s">
        <v>131</v>
      </c>
      <c r="D19" s="16" t="s">
        <v>102</v>
      </c>
      <c r="E19" s="24">
        <v>0</v>
      </c>
      <c r="F19" s="24">
        <v>18</v>
      </c>
      <c r="G19" s="31"/>
      <c r="H19" s="31"/>
      <c r="I19" s="31"/>
      <c r="J19" s="31"/>
      <c r="K19" s="31"/>
      <c r="L19" s="31"/>
      <c r="M19" s="31"/>
      <c r="N19" s="31"/>
      <c r="O19" s="37">
        <f t="shared" si="0"/>
        <v>18</v>
      </c>
      <c r="P19" s="37">
        <f t="shared" si="1"/>
        <v>18</v>
      </c>
      <c r="Q19" s="25">
        <f>'Store Issue'!F19</f>
        <v>180</v>
      </c>
      <c r="R19" s="38">
        <f t="shared" si="2"/>
        <v>3240</v>
      </c>
    </row>
    <row r="20" spans="1:18" x14ac:dyDescent="0.3">
      <c r="A20" s="16" t="s">
        <v>134</v>
      </c>
      <c r="B20" s="16" t="s">
        <v>135</v>
      </c>
      <c r="C20" s="16" t="s">
        <v>116</v>
      </c>
      <c r="D20" s="16" t="s">
        <v>102</v>
      </c>
      <c r="E20" s="24">
        <v>0</v>
      </c>
      <c r="F20" s="24">
        <v>15</v>
      </c>
      <c r="G20" s="31"/>
      <c r="H20" s="31"/>
      <c r="I20" s="31"/>
      <c r="J20" s="31"/>
      <c r="K20" s="31"/>
      <c r="L20" s="31"/>
      <c r="M20" s="31"/>
      <c r="N20" s="31"/>
      <c r="O20" s="37">
        <f t="shared" si="0"/>
        <v>15</v>
      </c>
      <c r="P20" s="37">
        <f t="shared" si="1"/>
        <v>15</v>
      </c>
      <c r="Q20" s="25">
        <f>'Store Issue'!F20</f>
        <v>620</v>
      </c>
      <c r="R20" s="38">
        <f t="shared" si="2"/>
        <v>9300</v>
      </c>
    </row>
    <row r="21" spans="1:18" x14ac:dyDescent="0.3">
      <c r="A21" s="63" t="s">
        <v>136</v>
      </c>
      <c r="B21" s="63"/>
      <c r="C21" s="63"/>
      <c r="D21" s="63"/>
      <c r="E21" s="63"/>
      <c r="F21" s="63"/>
      <c r="G21" s="63"/>
      <c r="H21" s="63"/>
      <c r="I21" s="63"/>
      <c r="J21" s="63"/>
      <c r="K21" s="63"/>
      <c r="L21" s="63"/>
      <c r="M21" s="63"/>
      <c r="N21" s="63"/>
      <c r="O21" s="63"/>
      <c r="P21" s="63"/>
      <c r="Q21" s="63"/>
      <c r="R21" s="63"/>
    </row>
    <row r="22" spans="1:18" x14ac:dyDescent="0.3">
      <c r="A22" s="16" t="s">
        <v>137</v>
      </c>
      <c r="B22" s="16" t="s">
        <v>138</v>
      </c>
      <c r="C22" s="16" t="s">
        <v>139</v>
      </c>
      <c r="D22" s="16" t="s">
        <v>102</v>
      </c>
      <c r="E22" s="24">
        <v>0</v>
      </c>
      <c r="F22" s="24">
        <v>15</v>
      </c>
      <c r="G22" s="31"/>
      <c r="H22" s="31"/>
      <c r="I22" s="31"/>
      <c r="J22" s="31"/>
      <c r="K22" s="31"/>
      <c r="L22" s="31"/>
      <c r="M22" s="31"/>
      <c r="N22" s="31"/>
      <c r="O22" s="37">
        <f t="shared" ref="O22:O32" si="3">SUM(F22:N22)</f>
        <v>15</v>
      </c>
      <c r="P22" s="37">
        <f t="shared" ref="P22:P32" si="4">E22+O22</f>
        <v>15</v>
      </c>
      <c r="Q22" s="25">
        <f>'Store Issue'!F22</f>
        <v>900</v>
      </c>
      <c r="R22" s="38">
        <f t="shared" ref="R22:R32" si="5">P22*Q22</f>
        <v>13500</v>
      </c>
    </row>
    <row r="23" spans="1:18" x14ac:dyDescent="0.3">
      <c r="A23" s="16" t="s">
        <v>140</v>
      </c>
      <c r="B23" s="16" t="s">
        <v>141</v>
      </c>
      <c r="C23" s="16" t="s">
        <v>139</v>
      </c>
      <c r="D23" s="16" t="s">
        <v>117</v>
      </c>
      <c r="E23" s="24">
        <v>0</v>
      </c>
      <c r="F23" s="31"/>
      <c r="G23" s="31"/>
      <c r="H23" s="31"/>
      <c r="I23" s="31"/>
      <c r="J23" s="31"/>
      <c r="K23" s="31"/>
      <c r="L23" s="31"/>
      <c r="M23" s="31"/>
      <c r="N23" s="31"/>
      <c r="O23" s="37">
        <f t="shared" si="3"/>
        <v>0</v>
      </c>
      <c r="P23" s="37">
        <f t="shared" si="4"/>
        <v>0</v>
      </c>
      <c r="Q23" s="25">
        <f>'Store Issue'!F23</f>
        <v>3</v>
      </c>
      <c r="R23" s="38">
        <f t="shared" si="5"/>
        <v>0</v>
      </c>
    </row>
    <row r="24" spans="1:18" x14ac:dyDescent="0.3">
      <c r="A24" s="16" t="s">
        <v>142</v>
      </c>
      <c r="B24" s="16" t="s">
        <v>143</v>
      </c>
      <c r="C24" s="16" t="s">
        <v>139</v>
      </c>
      <c r="D24" s="16" t="s">
        <v>117</v>
      </c>
      <c r="E24" s="24">
        <v>0</v>
      </c>
      <c r="F24" s="31"/>
      <c r="G24" s="31"/>
      <c r="H24" s="31"/>
      <c r="I24" s="31"/>
      <c r="J24" s="31"/>
      <c r="K24" s="31"/>
      <c r="L24" s="31"/>
      <c r="M24" s="31"/>
      <c r="N24" s="31"/>
      <c r="O24" s="37">
        <f t="shared" si="3"/>
        <v>0</v>
      </c>
      <c r="P24" s="37">
        <f t="shared" si="4"/>
        <v>0</v>
      </c>
      <c r="Q24" s="25">
        <f>'Store Issue'!F24</f>
        <v>4</v>
      </c>
      <c r="R24" s="38">
        <f t="shared" si="5"/>
        <v>0</v>
      </c>
    </row>
    <row r="25" spans="1:18" x14ac:dyDescent="0.3">
      <c r="A25" s="16" t="s">
        <v>144</v>
      </c>
      <c r="B25" s="16" t="s">
        <v>145</v>
      </c>
      <c r="C25" s="16" t="s">
        <v>146</v>
      </c>
      <c r="D25" s="16" t="s">
        <v>147</v>
      </c>
      <c r="E25" s="24">
        <v>0</v>
      </c>
      <c r="F25" s="24">
        <v>45</v>
      </c>
      <c r="G25" s="24">
        <v>40</v>
      </c>
      <c r="H25" s="31"/>
      <c r="I25" s="31"/>
      <c r="J25" s="31"/>
      <c r="K25" s="31"/>
      <c r="L25" s="31"/>
      <c r="M25" s="31"/>
      <c r="N25" s="31"/>
      <c r="O25" s="37">
        <f t="shared" si="3"/>
        <v>85</v>
      </c>
      <c r="P25" s="37">
        <f t="shared" si="4"/>
        <v>85</v>
      </c>
      <c r="Q25" s="25">
        <f>'Store Issue'!F25</f>
        <v>65.461538461538467</v>
      </c>
      <c r="R25" s="38">
        <f t="shared" si="5"/>
        <v>5564.2307692307695</v>
      </c>
    </row>
    <row r="26" spans="1:18" x14ac:dyDescent="0.3">
      <c r="A26" s="16" t="s">
        <v>148</v>
      </c>
      <c r="B26" s="16" t="s">
        <v>149</v>
      </c>
      <c r="C26" s="16" t="s">
        <v>139</v>
      </c>
      <c r="D26" s="16" t="s">
        <v>102</v>
      </c>
      <c r="E26" s="24">
        <v>0</v>
      </c>
      <c r="F26" s="31"/>
      <c r="G26" s="31"/>
      <c r="H26" s="31"/>
      <c r="I26" s="31"/>
      <c r="J26" s="31"/>
      <c r="K26" s="31"/>
      <c r="L26" s="31"/>
      <c r="M26" s="31"/>
      <c r="N26" s="31"/>
      <c r="O26" s="37">
        <f t="shared" si="3"/>
        <v>0</v>
      </c>
      <c r="P26" s="37">
        <f t="shared" si="4"/>
        <v>0</v>
      </c>
      <c r="Q26" s="25">
        <f>'Store Issue'!F26</f>
        <v>350</v>
      </c>
      <c r="R26" s="38">
        <f t="shared" si="5"/>
        <v>0</v>
      </c>
    </row>
    <row r="27" spans="1:18" x14ac:dyDescent="0.3">
      <c r="A27" s="16" t="s">
        <v>150</v>
      </c>
      <c r="B27" s="16" t="s">
        <v>151</v>
      </c>
      <c r="C27" s="16" t="s">
        <v>152</v>
      </c>
      <c r="D27" s="16" t="s">
        <v>147</v>
      </c>
      <c r="E27" s="24">
        <v>0</v>
      </c>
      <c r="F27" s="24">
        <v>6</v>
      </c>
      <c r="G27" s="31"/>
      <c r="H27" s="31"/>
      <c r="I27" s="31"/>
      <c r="J27" s="31"/>
      <c r="K27" s="31"/>
      <c r="L27" s="31"/>
      <c r="M27" s="31"/>
      <c r="N27" s="31"/>
      <c r="O27" s="37">
        <f t="shared" si="3"/>
        <v>6</v>
      </c>
      <c r="P27" s="37">
        <f t="shared" si="4"/>
        <v>6</v>
      </c>
      <c r="Q27" s="25">
        <f>'Store Issue'!F27</f>
        <v>950</v>
      </c>
      <c r="R27" s="38">
        <f t="shared" si="5"/>
        <v>5700</v>
      </c>
    </row>
    <row r="28" spans="1:18" x14ac:dyDescent="0.3">
      <c r="A28" s="16" t="s">
        <v>153</v>
      </c>
      <c r="B28" s="16" t="s">
        <v>154</v>
      </c>
      <c r="C28" s="16" t="s">
        <v>155</v>
      </c>
      <c r="D28" s="16" t="s">
        <v>102</v>
      </c>
      <c r="E28" s="24">
        <v>0</v>
      </c>
      <c r="F28" s="31"/>
      <c r="G28" s="31"/>
      <c r="H28" s="31"/>
      <c r="I28" s="31"/>
      <c r="J28" s="31"/>
      <c r="K28" s="31"/>
      <c r="L28" s="31"/>
      <c r="M28" s="31"/>
      <c r="N28" s="31"/>
      <c r="O28" s="37">
        <f t="shared" si="3"/>
        <v>0</v>
      </c>
      <c r="P28" s="37">
        <f t="shared" si="4"/>
        <v>0</v>
      </c>
      <c r="Q28" s="25">
        <f>'Store Issue'!F28</f>
        <v>150</v>
      </c>
      <c r="R28" s="38">
        <f t="shared" si="5"/>
        <v>0</v>
      </c>
    </row>
    <row r="29" spans="1:18" x14ac:dyDescent="0.3">
      <c r="A29" s="16" t="s">
        <v>156</v>
      </c>
      <c r="B29" s="16" t="s">
        <v>157</v>
      </c>
      <c r="C29" s="16" t="s">
        <v>155</v>
      </c>
      <c r="D29" s="16" t="s">
        <v>102</v>
      </c>
      <c r="E29" s="24">
        <v>0</v>
      </c>
      <c r="F29" s="24">
        <v>6</v>
      </c>
      <c r="G29" s="31"/>
      <c r="H29" s="31"/>
      <c r="I29" s="31"/>
      <c r="J29" s="31"/>
      <c r="K29" s="31"/>
      <c r="L29" s="31"/>
      <c r="M29" s="31"/>
      <c r="N29" s="31"/>
      <c r="O29" s="37">
        <f t="shared" si="3"/>
        <v>6</v>
      </c>
      <c r="P29" s="37">
        <f t="shared" si="4"/>
        <v>6</v>
      </c>
      <c r="Q29" s="25">
        <f>'Store Issue'!F29</f>
        <v>100</v>
      </c>
      <c r="R29" s="38">
        <f t="shared" si="5"/>
        <v>600</v>
      </c>
    </row>
    <row r="30" spans="1:18" x14ac:dyDescent="0.3">
      <c r="A30" s="16" t="s">
        <v>158</v>
      </c>
      <c r="B30" s="16" t="s">
        <v>159</v>
      </c>
      <c r="C30" s="16" t="s">
        <v>109</v>
      </c>
      <c r="D30" s="16" t="s">
        <v>102</v>
      </c>
      <c r="E30" s="24">
        <v>0</v>
      </c>
      <c r="F30" s="24">
        <v>12</v>
      </c>
      <c r="G30" s="31"/>
      <c r="H30" s="31"/>
      <c r="I30" s="31"/>
      <c r="J30" s="31"/>
      <c r="K30" s="31"/>
      <c r="L30" s="31"/>
      <c r="M30" s="31"/>
      <c r="N30" s="31"/>
      <c r="O30" s="37">
        <f t="shared" si="3"/>
        <v>12</v>
      </c>
      <c r="P30" s="37">
        <f t="shared" si="4"/>
        <v>12</v>
      </c>
      <c r="Q30" s="25">
        <f>'Store Issue'!F30</f>
        <v>90</v>
      </c>
      <c r="R30" s="38">
        <f t="shared" si="5"/>
        <v>1080</v>
      </c>
    </row>
    <row r="31" spans="1:18" x14ac:dyDescent="0.3">
      <c r="A31" s="16" t="s">
        <v>160</v>
      </c>
      <c r="B31" s="16" t="s">
        <v>161</v>
      </c>
      <c r="C31" s="16" t="s">
        <v>162</v>
      </c>
      <c r="D31" s="16" t="s">
        <v>147</v>
      </c>
      <c r="E31" s="24">
        <v>0</v>
      </c>
      <c r="F31" s="24">
        <v>18</v>
      </c>
      <c r="G31" s="31"/>
      <c r="H31" s="31"/>
      <c r="I31" s="31"/>
      <c r="J31" s="31"/>
      <c r="K31" s="31"/>
      <c r="L31" s="31"/>
      <c r="M31" s="31"/>
      <c r="N31" s="31"/>
      <c r="O31" s="37">
        <f t="shared" si="3"/>
        <v>18</v>
      </c>
      <c r="P31" s="37">
        <f t="shared" si="4"/>
        <v>18</v>
      </c>
      <c r="Q31" s="25">
        <f>'Store Issue'!F31</f>
        <v>45</v>
      </c>
      <c r="R31" s="38">
        <f t="shared" si="5"/>
        <v>810</v>
      </c>
    </row>
    <row r="32" spans="1:18" x14ac:dyDescent="0.3">
      <c r="A32" s="16" t="s">
        <v>163</v>
      </c>
      <c r="B32" s="16" t="s">
        <v>164</v>
      </c>
      <c r="C32" s="16" t="s">
        <v>165</v>
      </c>
      <c r="D32" s="16" t="s">
        <v>166</v>
      </c>
      <c r="E32" s="24">
        <v>0</v>
      </c>
      <c r="F32" s="24">
        <v>150</v>
      </c>
      <c r="G32" s="31"/>
      <c r="H32" s="31"/>
      <c r="I32" s="31"/>
      <c r="J32" s="31"/>
      <c r="K32" s="31"/>
      <c r="L32" s="31"/>
      <c r="M32" s="31"/>
      <c r="N32" s="31"/>
      <c r="O32" s="37">
        <f t="shared" si="3"/>
        <v>150</v>
      </c>
      <c r="P32" s="37">
        <f t="shared" si="4"/>
        <v>150</v>
      </c>
      <c r="Q32" s="25">
        <f>'Store Issue'!F32</f>
        <v>35</v>
      </c>
      <c r="R32" s="38">
        <f t="shared" si="5"/>
        <v>5250</v>
      </c>
    </row>
    <row r="33" spans="1:18" x14ac:dyDescent="0.3">
      <c r="A33" s="63" t="s">
        <v>167</v>
      </c>
      <c r="B33" s="63"/>
      <c r="C33" s="63"/>
      <c r="D33" s="63"/>
      <c r="E33" s="63"/>
      <c r="F33" s="63"/>
      <c r="G33" s="63"/>
      <c r="H33" s="63"/>
      <c r="I33" s="63"/>
      <c r="J33" s="63"/>
      <c r="K33" s="63"/>
      <c r="L33" s="63"/>
      <c r="M33" s="63"/>
      <c r="N33" s="63"/>
      <c r="O33" s="63"/>
      <c r="P33" s="63"/>
      <c r="Q33" s="63"/>
      <c r="R33" s="63"/>
    </row>
    <row r="34" spans="1:18" x14ac:dyDescent="0.3">
      <c r="A34" s="16" t="s">
        <v>168</v>
      </c>
      <c r="B34" s="16" t="s">
        <v>169</v>
      </c>
      <c r="C34" s="16" t="s">
        <v>170</v>
      </c>
      <c r="D34" s="16" t="s">
        <v>117</v>
      </c>
      <c r="E34" s="24">
        <v>0</v>
      </c>
      <c r="F34" s="24">
        <v>280</v>
      </c>
      <c r="G34" s="31"/>
      <c r="H34" s="31"/>
      <c r="I34" s="31"/>
      <c r="J34" s="31"/>
      <c r="K34" s="31"/>
      <c r="L34" s="31"/>
      <c r="M34" s="31"/>
      <c r="N34" s="31"/>
      <c r="O34" s="37">
        <f t="shared" ref="O34:O42" si="6">SUM(F34:N34)</f>
        <v>280</v>
      </c>
      <c r="P34" s="37">
        <f t="shared" ref="P34:P42" si="7">E34+O34</f>
        <v>280</v>
      </c>
      <c r="Q34" s="25">
        <f>'Store Issue'!F34</f>
        <v>8</v>
      </c>
      <c r="R34" s="38">
        <f t="shared" ref="R34:R42" si="8">P34*Q34</f>
        <v>2240</v>
      </c>
    </row>
    <row r="35" spans="1:18" x14ac:dyDescent="0.3">
      <c r="A35" s="16" t="s">
        <v>171</v>
      </c>
      <c r="B35" s="16" t="s">
        <v>172</v>
      </c>
      <c r="C35" s="16" t="s">
        <v>170</v>
      </c>
      <c r="D35" s="16" t="s">
        <v>117</v>
      </c>
      <c r="E35" s="24">
        <v>0</v>
      </c>
      <c r="F35" s="24">
        <v>200</v>
      </c>
      <c r="G35" s="31"/>
      <c r="H35" s="31"/>
      <c r="I35" s="31"/>
      <c r="J35" s="31"/>
      <c r="K35" s="31"/>
      <c r="L35" s="31"/>
      <c r="M35" s="31"/>
      <c r="N35" s="31"/>
      <c r="O35" s="37">
        <f t="shared" si="6"/>
        <v>200</v>
      </c>
      <c r="P35" s="37">
        <f t="shared" si="7"/>
        <v>200</v>
      </c>
      <c r="Q35" s="25">
        <f>'Store Issue'!F35</f>
        <v>15</v>
      </c>
      <c r="R35" s="38">
        <f t="shared" si="8"/>
        <v>3000</v>
      </c>
    </row>
    <row r="36" spans="1:18" x14ac:dyDescent="0.3">
      <c r="A36" s="16" t="s">
        <v>173</v>
      </c>
      <c r="B36" s="16" t="s">
        <v>174</v>
      </c>
      <c r="C36" s="16" t="s">
        <v>175</v>
      </c>
      <c r="D36" s="16" t="s">
        <v>117</v>
      </c>
      <c r="E36" s="24">
        <v>0</v>
      </c>
      <c r="F36" s="31"/>
      <c r="G36" s="31"/>
      <c r="H36" s="31"/>
      <c r="I36" s="31"/>
      <c r="J36" s="31"/>
      <c r="K36" s="31"/>
      <c r="L36" s="31"/>
      <c r="M36" s="31"/>
      <c r="N36" s="31"/>
      <c r="O36" s="37">
        <f t="shared" si="6"/>
        <v>0</v>
      </c>
      <c r="P36" s="37">
        <f t="shared" si="7"/>
        <v>0</v>
      </c>
      <c r="Q36" s="25">
        <f>'Store Issue'!F36</f>
        <v>1</v>
      </c>
      <c r="R36" s="38">
        <f t="shared" si="8"/>
        <v>0</v>
      </c>
    </row>
    <row r="37" spans="1:18" x14ac:dyDescent="0.3">
      <c r="A37" s="16" t="s">
        <v>176</v>
      </c>
      <c r="B37" s="16" t="s">
        <v>177</v>
      </c>
      <c r="C37" s="16" t="s">
        <v>175</v>
      </c>
      <c r="D37" s="16" t="s">
        <v>117</v>
      </c>
      <c r="E37" s="24">
        <v>0</v>
      </c>
      <c r="F37" s="31"/>
      <c r="G37" s="31"/>
      <c r="H37" s="31"/>
      <c r="I37" s="31"/>
      <c r="J37" s="31"/>
      <c r="K37" s="31"/>
      <c r="L37" s="31"/>
      <c r="M37" s="31"/>
      <c r="N37" s="31"/>
      <c r="O37" s="37">
        <f t="shared" si="6"/>
        <v>0</v>
      </c>
      <c r="P37" s="37">
        <f t="shared" si="7"/>
        <v>0</v>
      </c>
      <c r="Q37" s="25">
        <f>'Store Issue'!F37</f>
        <v>1</v>
      </c>
      <c r="R37" s="38">
        <f t="shared" si="8"/>
        <v>0</v>
      </c>
    </row>
    <row r="38" spans="1:18" x14ac:dyDescent="0.3">
      <c r="A38" s="16" t="s">
        <v>178</v>
      </c>
      <c r="B38" s="16" t="s">
        <v>179</v>
      </c>
      <c r="C38" s="16" t="s">
        <v>180</v>
      </c>
      <c r="D38" s="16" t="s">
        <v>102</v>
      </c>
      <c r="E38" s="24">
        <v>0</v>
      </c>
      <c r="F38" s="24">
        <v>20</v>
      </c>
      <c r="G38" s="31"/>
      <c r="H38" s="31"/>
      <c r="I38" s="31"/>
      <c r="J38" s="31"/>
      <c r="K38" s="31"/>
      <c r="L38" s="31"/>
      <c r="M38" s="31"/>
      <c r="N38" s="31"/>
      <c r="O38" s="37">
        <f t="shared" si="6"/>
        <v>20</v>
      </c>
      <c r="P38" s="37">
        <f t="shared" si="7"/>
        <v>20</v>
      </c>
      <c r="Q38" s="25">
        <f>'Store Issue'!F38</f>
        <v>60</v>
      </c>
      <c r="R38" s="38">
        <f t="shared" si="8"/>
        <v>1200</v>
      </c>
    </row>
    <row r="39" spans="1:18" x14ac:dyDescent="0.3">
      <c r="A39" s="16" t="s">
        <v>181</v>
      </c>
      <c r="B39" s="16" t="s">
        <v>182</v>
      </c>
      <c r="C39" s="16" t="s">
        <v>180</v>
      </c>
      <c r="D39" s="16" t="s">
        <v>102</v>
      </c>
      <c r="E39" s="24">
        <v>0</v>
      </c>
      <c r="F39" s="31"/>
      <c r="G39" s="31"/>
      <c r="H39" s="31"/>
      <c r="I39" s="31"/>
      <c r="J39" s="31"/>
      <c r="K39" s="31"/>
      <c r="L39" s="31"/>
      <c r="M39" s="31"/>
      <c r="N39" s="31"/>
      <c r="O39" s="37">
        <f t="shared" si="6"/>
        <v>0</v>
      </c>
      <c r="P39" s="37">
        <f t="shared" si="7"/>
        <v>0</v>
      </c>
      <c r="Q39" s="25">
        <f>'Store Issue'!F39</f>
        <v>25</v>
      </c>
      <c r="R39" s="38">
        <f t="shared" si="8"/>
        <v>0</v>
      </c>
    </row>
    <row r="40" spans="1:18" x14ac:dyDescent="0.3">
      <c r="A40" s="16" t="s">
        <v>183</v>
      </c>
      <c r="B40" s="16" t="s">
        <v>184</v>
      </c>
      <c r="C40" s="16" t="s">
        <v>180</v>
      </c>
      <c r="D40" s="16" t="s">
        <v>147</v>
      </c>
      <c r="E40" s="24">
        <v>0</v>
      </c>
      <c r="F40" s="24">
        <v>18</v>
      </c>
      <c r="G40" s="31"/>
      <c r="H40" s="31"/>
      <c r="I40" s="31"/>
      <c r="J40" s="31"/>
      <c r="K40" s="31"/>
      <c r="L40" s="31"/>
      <c r="M40" s="31"/>
      <c r="N40" s="31"/>
      <c r="O40" s="37">
        <f t="shared" si="6"/>
        <v>18</v>
      </c>
      <c r="P40" s="37">
        <f t="shared" si="7"/>
        <v>18</v>
      </c>
      <c r="Q40" s="25">
        <f>'Store Issue'!F40</f>
        <v>150</v>
      </c>
      <c r="R40" s="38">
        <f t="shared" si="8"/>
        <v>2700</v>
      </c>
    </row>
    <row r="41" spans="1:18" x14ac:dyDescent="0.3">
      <c r="A41" s="16" t="s">
        <v>185</v>
      </c>
      <c r="B41" s="16" t="s">
        <v>186</v>
      </c>
      <c r="C41" s="16" t="s">
        <v>180</v>
      </c>
      <c r="D41" s="16" t="s">
        <v>102</v>
      </c>
      <c r="E41" s="24">
        <v>0</v>
      </c>
      <c r="F41" s="24">
        <v>8</v>
      </c>
      <c r="G41" s="31"/>
      <c r="H41" s="31"/>
      <c r="I41" s="31"/>
      <c r="J41" s="31"/>
      <c r="K41" s="31"/>
      <c r="L41" s="31"/>
      <c r="M41" s="31"/>
      <c r="N41" s="31"/>
      <c r="O41" s="37">
        <f t="shared" si="6"/>
        <v>8</v>
      </c>
      <c r="P41" s="37">
        <f t="shared" si="7"/>
        <v>8</v>
      </c>
      <c r="Q41" s="25">
        <f>'Store Issue'!F41</f>
        <v>400</v>
      </c>
      <c r="R41" s="38">
        <f t="shared" si="8"/>
        <v>3200</v>
      </c>
    </row>
    <row r="42" spans="1:18" x14ac:dyDescent="0.3">
      <c r="A42" s="16" t="s">
        <v>187</v>
      </c>
      <c r="B42" s="16" t="s">
        <v>188</v>
      </c>
      <c r="C42" s="16" t="s">
        <v>180</v>
      </c>
      <c r="D42" s="16" t="s">
        <v>102</v>
      </c>
      <c r="E42" s="24">
        <v>0</v>
      </c>
      <c r="F42" s="31"/>
      <c r="G42" s="31"/>
      <c r="H42" s="31"/>
      <c r="I42" s="31"/>
      <c r="J42" s="31"/>
      <c r="K42" s="31"/>
      <c r="L42" s="31"/>
      <c r="M42" s="31"/>
      <c r="N42" s="31"/>
      <c r="O42" s="37">
        <f t="shared" si="6"/>
        <v>0</v>
      </c>
      <c r="P42" s="37">
        <f t="shared" si="7"/>
        <v>0</v>
      </c>
      <c r="Q42" s="25">
        <f>'Store Issue'!F42</f>
        <v>500</v>
      </c>
      <c r="R42" s="38">
        <f t="shared" si="8"/>
        <v>0</v>
      </c>
    </row>
  </sheetData>
  <mergeCells count="5">
    <mergeCell ref="A1:J1"/>
    <mergeCell ref="A2:J2"/>
    <mergeCell ref="A5:R5"/>
    <mergeCell ref="A21:R21"/>
    <mergeCell ref="A33:R33"/>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4FB6"/>
  </sheetPr>
  <dimension ref="A1:AJ42"/>
  <sheetViews>
    <sheetView showGridLines="0" zoomScaleNormal="100" workbookViewId="0">
      <pane xSplit="5" ySplit="4" topLeftCell="F5" activePane="bottomRight" state="frozen"/>
      <selection pane="topRight" activeCell="F1" sqref="F1"/>
      <selection pane="bottomLeft" activeCell="A5" sqref="A5"/>
      <selection pane="bottomRight" activeCell="A25" sqref="A25"/>
    </sheetView>
  </sheetViews>
  <sheetFormatPr defaultColWidth="8.6640625" defaultRowHeight="14.4" x14ac:dyDescent="0.3"/>
  <cols>
    <col min="1" max="1" width="11" customWidth="1"/>
    <col min="2" max="2" width="26" customWidth="1"/>
    <col min="3" max="3" width="18" customWidth="1"/>
    <col min="4" max="4" width="8" customWidth="1"/>
    <col min="5" max="5" width="11" customWidth="1"/>
    <col min="6" max="36" width="7" customWidth="1"/>
  </cols>
  <sheetData>
    <row r="1" spans="1:36" ht="25.5" customHeight="1" x14ac:dyDescent="0.3">
      <c r="A1" s="14" t="s">
        <v>519</v>
      </c>
      <c r="B1" s="14"/>
      <c r="C1" s="14"/>
      <c r="D1" s="14"/>
      <c r="E1" s="14"/>
      <c r="F1" s="14"/>
      <c r="G1" s="14"/>
      <c r="H1" s="14"/>
      <c r="I1" s="14"/>
      <c r="J1" s="14"/>
    </row>
    <row r="2" spans="1:36" x14ac:dyDescent="0.3">
      <c r="A2" s="13" t="s">
        <v>520</v>
      </c>
      <c r="B2" s="13"/>
      <c r="C2" s="13"/>
      <c r="D2" s="13"/>
      <c r="E2" s="13"/>
      <c r="F2" s="13"/>
      <c r="G2" s="13"/>
      <c r="H2" s="13"/>
      <c r="I2" s="13"/>
      <c r="J2" s="13"/>
    </row>
    <row r="4" spans="1:36" ht="30" customHeight="1" x14ac:dyDescent="0.3">
      <c r="A4" s="15" t="s">
        <v>93</v>
      </c>
      <c r="B4" s="15" t="s">
        <v>94</v>
      </c>
      <c r="C4" s="15" t="s">
        <v>95</v>
      </c>
      <c r="D4" s="15" t="s">
        <v>96</v>
      </c>
      <c r="E4" s="15" t="s">
        <v>521</v>
      </c>
      <c r="F4" s="15" t="s">
        <v>522</v>
      </c>
      <c r="G4" s="15" t="s">
        <v>523</v>
      </c>
      <c r="H4" s="15" t="s">
        <v>524</v>
      </c>
      <c r="I4" s="15" t="s">
        <v>525</v>
      </c>
      <c r="J4" s="15" t="s">
        <v>526</v>
      </c>
      <c r="K4" s="15" t="s">
        <v>527</v>
      </c>
      <c r="L4" s="15" t="s">
        <v>528</v>
      </c>
      <c r="M4" s="15" t="s">
        <v>529</v>
      </c>
      <c r="N4" s="15" t="s">
        <v>530</v>
      </c>
      <c r="O4" s="15" t="s">
        <v>531</v>
      </c>
      <c r="P4" s="15" t="s">
        <v>532</v>
      </c>
      <c r="Q4" s="15" t="s">
        <v>533</v>
      </c>
      <c r="R4" s="15" t="s">
        <v>534</v>
      </c>
      <c r="S4" s="15" t="s">
        <v>535</v>
      </c>
      <c r="T4" s="15" t="s">
        <v>536</v>
      </c>
      <c r="U4" s="15" t="s">
        <v>537</v>
      </c>
      <c r="V4" s="15" t="s">
        <v>538</v>
      </c>
      <c r="W4" s="15" t="s">
        <v>539</v>
      </c>
      <c r="X4" s="15" t="s">
        <v>540</v>
      </c>
      <c r="Y4" s="15" t="s">
        <v>541</v>
      </c>
      <c r="Z4" s="15" t="s">
        <v>542</v>
      </c>
      <c r="AA4" s="15" t="s">
        <v>543</v>
      </c>
      <c r="AB4" s="15" t="s">
        <v>544</v>
      </c>
      <c r="AC4" s="15" t="s">
        <v>545</v>
      </c>
      <c r="AD4" s="15" t="s">
        <v>546</v>
      </c>
      <c r="AE4" s="15" t="s">
        <v>547</v>
      </c>
      <c r="AF4" s="15" t="s">
        <v>548</v>
      </c>
      <c r="AG4" s="15" t="s">
        <v>549</v>
      </c>
      <c r="AH4" s="15" t="s">
        <v>550</v>
      </c>
      <c r="AI4" s="15" t="s">
        <v>551</v>
      </c>
      <c r="AJ4" s="15" t="s">
        <v>552</v>
      </c>
    </row>
    <row r="5" spans="1:36" x14ac:dyDescent="0.3">
      <c r="A5" s="63" t="s">
        <v>98</v>
      </c>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row>
    <row r="6" spans="1:36" x14ac:dyDescent="0.3">
      <c r="A6" s="16" t="s">
        <v>99</v>
      </c>
      <c r="B6" s="16" t="s">
        <v>100</v>
      </c>
      <c r="C6" s="16" t="s">
        <v>101</v>
      </c>
      <c r="D6" s="16" t="s">
        <v>102</v>
      </c>
      <c r="E6" s="24">
        <v>0</v>
      </c>
      <c r="F6" s="24">
        <v>14</v>
      </c>
      <c r="G6" s="24">
        <v>13</v>
      </c>
      <c r="H6" s="24">
        <v>12</v>
      </c>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row>
    <row r="7" spans="1:36" x14ac:dyDescent="0.3">
      <c r="A7" s="16" t="s">
        <v>103</v>
      </c>
      <c r="B7" s="16" t="s">
        <v>104</v>
      </c>
      <c r="C7" s="16" t="s">
        <v>101</v>
      </c>
      <c r="D7" s="16" t="s">
        <v>102</v>
      </c>
      <c r="E7" s="24">
        <v>0</v>
      </c>
      <c r="F7" s="24">
        <v>10</v>
      </c>
      <c r="G7" s="24">
        <v>9</v>
      </c>
      <c r="H7" s="24">
        <v>9</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row>
    <row r="8" spans="1:36" x14ac:dyDescent="0.3">
      <c r="A8" s="16" t="s">
        <v>105</v>
      </c>
      <c r="B8" s="16" t="s">
        <v>106</v>
      </c>
      <c r="C8" s="16" t="s">
        <v>101</v>
      </c>
      <c r="D8" s="16" t="s">
        <v>102</v>
      </c>
      <c r="E8" s="24">
        <v>0</v>
      </c>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row>
    <row r="9" spans="1:36" x14ac:dyDescent="0.3">
      <c r="A9" s="16" t="s">
        <v>107</v>
      </c>
      <c r="B9" s="16" t="s">
        <v>108</v>
      </c>
      <c r="C9" s="16" t="s">
        <v>109</v>
      </c>
      <c r="D9" s="16" t="s">
        <v>102</v>
      </c>
      <c r="E9" s="24">
        <v>0</v>
      </c>
      <c r="F9" s="24">
        <v>6</v>
      </c>
      <c r="G9" s="24">
        <v>5</v>
      </c>
      <c r="H9" s="24">
        <v>5</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row>
    <row r="10" spans="1:36" x14ac:dyDescent="0.3">
      <c r="A10" s="16" t="s">
        <v>110</v>
      </c>
      <c r="B10" s="16" t="s">
        <v>111</v>
      </c>
      <c r="C10" s="16" t="s">
        <v>109</v>
      </c>
      <c r="D10" s="16" t="s">
        <v>102</v>
      </c>
      <c r="E10" s="24">
        <v>0</v>
      </c>
      <c r="F10" s="24">
        <v>6</v>
      </c>
      <c r="G10" s="24">
        <v>5</v>
      </c>
      <c r="H10" s="24">
        <v>5</v>
      </c>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row>
    <row r="11" spans="1:36" x14ac:dyDescent="0.3">
      <c r="A11" s="16" t="s">
        <v>112</v>
      </c>
      <c r="B11" s="16" t="s">
        <v>113</v>
      </c>
      <c r="C11" s="16" t="s">
        <v>109</v>
      </c>
      <c r="D11" s="16" t="s">
        <v>102</v>
      </c>
      <c r="E11" s="24">
        <v>0</v>
      </c>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row>
    <row r="12" spans="1:36" x14ac:dyDescent="0.3">
      <c r="A12" s="16" t="s">
        <v>114</v>
      </c>
      <c r="B12" s="16" t="s">
        <v>115</v>
      </c>
      <c r="C12" s="16" t="s">
        <v>116</v>
      </c>
      <c r="D12" s="16" t="s">
        <v>117</v>
      </c>
      <c r="E12" s="24">
        <v>0</v>
      </c>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row>
    <row r="13" spans="1:36" x14ac:dyDescent="0.3">
      <c r="A13" s="16" t="s">
        <v>118</v>
      </c>
      <c r="B13" s="16" t="s">
        <v>119</v>
      </c>
      <c r="C13" s="16" t="s">
        <v>120</v>
      </c>
      <c r="D13" s="16" t="s">
        <v>102</v>
      </c>
      <c r="E13" s="24">
        <v>0</v>
      </c>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row>
    <row r="14" spans="1:36" x14ac:dyDescent="0.3">
      <c r="A14" s="16" t="s">
        <v>121</v>
      </c>
      <c r="B14" s="16" t="s">
        <v>122</v>
      </c>
      <c r="C14" s="16" t="s">
        <v>116</v>
      </c>
      <c r="D14" s="16" t="s">
        <v>102</v>
      </c>
      <c r="E14" s="24">
        <v>0</v>
      </c>
      <c r="F14" s="24">
        <v>4</v>
      </c>
      <c r="G14" s="24">
        <v>4</v>
      </c>
      <c r="H14" s="24">
        <v>3.5</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row>
    <row r="15" spans="1:36" x14ac:dyDescent="0.3">
      <c r="A15" s="16" t="s">
        <v>123</v>
      </c>
      <c r="B15" s="16" t="s">
        <v>124</v>
      </c>
      <c r="C15" s="16" t="s">
        <v>116</v>
      </c>
      <c r="D15" s="16" t="s">
        <v>117</v>
      </c>
      <c r="E15" s="24">
        <v>0</v>
      </c>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row>
    <row r="16" spans="1:36" x14ac:dyDescent="0.3">
      <c r="A16" s="16" t="s">
        <v>125</v>
      </c>
      <c r="B16" s="16" t="s">
        <v>126</v>
      </c>
      <c r="C16" s="16" t="s">
        <v>120</v>
      </c>
      <c r="D16" s="16" t="s">
        <v>102</v>
      </c>
      <c r="E16" s="24">
        <v>0</v>
      </c>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row>
    <row r="17" spans="1:36" x14ac:dyDescent="0.3">
      <c r="A17" s="16" t="s">
        <v>127</v>
      </c>
      <c r="B17" s="16" t="s">
        <v>128</v>
      </c>
      <c r="C17" s="16" t="s">
        <v>120</v>
      </c>
      <c r="D17" s="16" t="s">
        <v>117</v>
      </c>
      <c r="E17" s="24">
        <v>0</v>
      </c>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row>
    <row r="18" spans="1:36" x14ac:dyDescent="0.3">
      <c r="A18" s="16" t="s">
        <v>129</v>
      </c>
      <c r="B18" s="16" t="s">
        <v>130</v>
      </c>
      <c r="C18" s="16" t="s">
        <v>131</v>
      </c>
      <c r="D18" s="16" t="s">
        <v>102</v>
      </c>
      <c r="E18" s="24">
        <v>0</v>
      </c>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row>
    <row r="19" spans="1:36" x14ac:dyDescent="0.3">
      <c r="A19" s="16" t="s">
        <v>132</v>
      </c>
      <c r="B19" s="16" t="s">
        <v>133</v>
      </c>
      <c r="C19" s="16" t="s">
        <v>131</v>
      </c>
      <c r="D19" s="16" t="s">
        <v>102</v>
      </c>
      <c r="E19" s="24">
        <v>0</v>
      </c>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row>
    <row r="20" spans="1:36" x14ac:dyDescent="0.3">
      <c r="A20" s="16" t="s">
        <v>134</v>
      </c>
      <c r="B20" s="16" t="s">
        <v>135</v>
      </c>
      <c r="C20" s="16" t="s">
        <v>116</v>
      </c>
      <c r="D20" s="16" t="s">
        <v>102</v>
      </c>
      <c r="E20" s="24">
        <v>0</v>
      </c>
      <c r="F20" s="24">
        <v>5</v>
      </c>
      <c r="G20" s="24">
        <v>4.5</v>
      </c>
      <c r="H20" s="24">
        <v>4</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row>
    <row r="21" spans="1:36" x14ac:dyDescent="0.3">
      <c r="A21" s="63" t="s">
        <v>136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row>
    <row r="22" spans="1:36" x14ac:dyDescent="0.3">
      <c r="A22" s="16" t="s">
        <v>137</v>
      </c>
      <c r="B22" s="16" t="s">
        <v>138</v>
      </c>
      <c r="C22" s="16" t="s">
        <v>139</v>
      </c>
      <c r="D22" s="16" t="s">
        <v>102</v>
      </c>
      <c r="E22" s="24">
        <v>0</v>
      </c>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row>
    <row r="23" spans="1:36" x14ac:dyDescent="0.3">
      <c r="A23" s="16" t="s">
        <v>140</v>
      </c>
      <c r="B23" s="16" t="s">
        <v>141</v>
      </c>
      <c r="C23" s="16" t="s">
        <v>139</v>
      </c>
      <c r="D23" s="16" t="s">
        <v>117</v>
      </c>
      <c r="E23" s="24">
        <v>0</v>
      </c>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row>
    <row r="24" spans="1:36" x14ac:dyDescent="0.3">
      <c r="A24" s="16" t="s">
        <v>142</v>
      </c>
      <c r="B24" s="16" t="s">
        <v>143</v>
      </c>
      <c r="C24" s="16" t="s">
        <v>139</v>
      </c>
      <c r="D24" s="16" t="s">
        <v>117</v>
      </c>
      <c r="E24" s="24">
        <v>0</v>
      </c>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row>
    <row r="25" spans="1:36" x14ac:dyDescent="0.3">
      <c r="A25" s="16" t="s">
        <v>144</v>
      </c>
      <c r="B25" s="16" t="s">
        <v>145</v>
      </c>
      <c r="C25" s="16" t="s">
        <v>146</v>
      </c>
      <c r="D25" s="16" t="s">
        <v>147</v>
      </c>
      <c r="E25" s="24">
        <v>0</v>
      </c>
      <c r="F25" s="24">
        <v>18</v>
      </c>
      <c r="G25" s="24">
        <v>16</v>
      </c>
      <c r="H25" s="24">
        <v>15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row>
    <row r="26" spans="1:36" x14ac:dyDescent="0.3">
      <c r="A26" s="16" t="s">
        <v>148</v>
      </c>
      <c r="B26" s="16" t="s">
        <v>149</v>
      </c>
      <c r="C26" s="16" t="s">
        <v>139</v>
      </c>
      <c r="D26" s="16" t="s">
        <v>102</v>
      </c>
      <c r="E26" s="24">
        <v>0</v>
      </c>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row>
    <row r="27" spans="1:36" x14ac:dyDescent="0.3">
      <c r="A27" s="16" t="s">
        <v>150</v>
      </c>
      <c r="B27" s="16" t="s">
        <v>151</v>
      </c>
      <c r="C27" s="16" t="s">
        <v>152</v>
      </c>
      <c r="D27" s="16" t="s">
        <v>147</v>
      </c>
      <c r="E27" s="24">
        <v>0</v>
      </c>
      <c r="F27" s="24">
        <v>4</v>
      </c>
      <c r="G27" s="24">
        <v>4</v>
      </c>
      <c r="H27" s="24">
        <v>3.8</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row>
    <row r="28" spans="1:36" x14ac:dyDescent="0.3">
      <c r="A28" s="16" t="s">
        <v>153</v>
      </c>
      <c r="B28" s="16" t="s">
        <v>154</v>
      </c>
      <c r="C28" s="16" t="s">
        <v>155</v>
      </c>
      <c r="D28" s="16" t="s">
        <v>102</v>
      </c>
      <c r="E28" s="24">
        <v>0</v>
      </c>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row>
    <row r="29" spans="1:36" x14ac:dyDescent="0.3">
      <c r="A29" s="16" t="s">
        <v>156</v>
      </c>
      <c r="B29" s="16" t="s">
        <v>157</v>
      </c>
      <c r="C29" s="16" t="s">
        <v>155</v>
      </c>
      <c r="D29" s="16" t="s">
        <v>102</v>
      </c>
      <c r="E29" s="24">
        <v>0</v>
      </c>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row>
    <row r="30" spans="1:36" x14ac:dyDescent="0.3">
      <c r="A30" s="16" t="s">
        <v>158</v>
      </c>
      <c r="B30" s="16" t="s">
        <v>159</v>
      </c>
      <c r="C30" s="16" t="s">
        <v>109</v>
      </c>
      <c r="D30" s="16" t="s">
        <v>102</v>
      </c>
      <c r="E30" s="24">
        <v>0</v>
      </c>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row>
    <row r="31" spans="1:36" x14ac:dyDescent="0.3">
      <c r="A31" s="16" t="s">
        <v>160</v>
      </c>
      <c r="B31" s="16" t="s">
        <v>161</v>
      </c>
      <c r="C31" s="16" t="s">
        <v>162</v>
      </c>
      <c r="D31" s="16" t="s">
        <v>147</v>
      </c>
      <c r="E31" s="24">
        <v>0</v>
      </c>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row>
    <row r="32" spans="1:36" x14ac:dyDescent="0.3">
      <c r="A32" s="16" t="s">
        <v>163</v>
      </c>
      <c r="B32" s="16" t="s">
        <v>164</v>
      </c>
      <c r="C32" s="16" t="s">
        <v>165</v>
      </c>
      <c r="D32" s="16" t="s">
        <v>166</v>
      </c>
      <c r="E32" s="24">
        <v>0</v>
      </c>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row>
    <row r="33" spans="1:36" x14ac:dyDescent="0.3">
      <c r="A33" s="63" t="s">
        <v>167</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row>
    <row r="34" spans="1:36" x14ac:dyDescent="0.3">
      <c r="A34" s="16" t="s">
        <v>168</v>
      </c>
      <c r="B34" s="16" t="s">
        <v>169</v>
      </c>
      <c r="C34" s="16" t="s">
        <v>170</v>
      </c>
      <c r="D34" s="16" t="s">
        <v>117</v>
      </c>
      <c r="E34" s="24">
        <v>0</v>
      </c>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row>
    <row r="35" spans="1:36" x14ac:dyDescent="0.3">
      <c r="A35" s="16" t="s">
        <v>171</v>
      </c>
      <c r="B35" s="16" t="s">
        <v>172</v>
      </c>
      <c r="C35" s="16" t="s">
        <v>170</v>
      </c>
      <c r="D35" s="16" t="s">
        <v>117</v>
      </c>
      <c r="E35" s="24">
        <v>0</v>
      </c>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row>
    <row r="36" spans="1:36" x14ac:dyDescent="0.3">
      <c r="A36" s="16" t="s">
        <v>173</v>
      </c>
      <c r="B36" s="16" t="s">
        <v>174</v>
      </c>
      <c r="C36" s="16" t="s">
        <v>175</v>
      </c>
      <c r="D36" s="16" t="s">
        <v>117</v>
      </c>
      <c r="E36" s="24">
        <v>0</v>
      </c>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row>
    <row r="37" spans="1:36" x14ac:dyDescent="0.3">
      <c r="A37" s="16" t="s">
        <v>176</v>
      </c>
      <c r="B37" s="16" t="s">
        <v>177</v>
      </c>
      <c r="C37" s="16" t="s">
        <v>175</v>
      </c>
      <c r="D37" s="16" t="s">
        <v>117</v>
      </c>
      <c r="E37" s="24">
        <v>0</v>
      </c>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row>
    <row r="38" spans="1:36" x14ac:dyDescent="0.3">
      <c r="A38" s="16" t="s">
        <v>178</v>
      </c>
      <c r="B38" s="16" t="s">
        <v>179</v>
      </c>
      <c r="C38" s="16" t="s">
        <v>180</v>
      </c>
      <c r="D38" s="16" t="s">
        <v>102</v>
      </c>
      <c r="E38" s="24">
        <v>0</v>
      </c>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row>
    <row r="39" spans="1:36" x14ac:dyDescent="0.3">
      <c r="A39" s="16" t="s">
        <v>181</v>
      </c>
      <c r="B39" s="16" t="s">
        <v>182</v>
      </c>
      <c r="C39" s="16" t="s">
        <v>180</v>
      </c>
      <c r="D39" s="16" t="s">
        <v>102</v>
      </c>
      <c r="E39" s="24">
        <v>0</v>
      </c>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row>
    <row r="40" spans="1:36" x14ac:dyDescent="0.3">
      <c r="A40" s="16" t="s">
        <v>183</v>
      </c>
      <c r="B40" s="16" t="s">
        <v>184</v>
      </c>
      <c r="C40" s="16" t="s">
        <v>180</v>
      </c>
      <c r="D40" s="16" t="s">
        <v>147</v>
      </c>
      <c r="E40" s="24">
        <v>0</v>
      </c>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row>
    <row r="41" spans="1:36" x14ac:dyDescent="0.3">
      <c r="A41" s="16" t="s">
        <v>185</v>
      </c>
      <c r="B41" s="16" t="s">
        <v>186</v>
      </c>
      <c r="C41" s="16" t="s">
        <v>180</v>
      </c>
      <c r="D41" s="16" t="s">
        <v>102</v>
      </c>
      <c r="E41" s="24">
        <v>0</v>
      </c>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row>
    <row r="42" spans="1:36" x14ac:dyDescent="0.3">
      <c r="A42" s="16" t="s">
        <v>187</v>
      </c>
      <c r="B42" s="16" t="s">
        <v>188</v>
      </c>
      <c r="C42" s="16" t="s">
        <v>180</v>
      </c>
      <c r="D42" s="16" t="s">
        <v>102</v>
      </c>
      <c r="E42" s="24">
        <v>0</v>
      </c>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row>
  </sheetData>
  <mergeCells count="5">
    <mergeCell ref="A1:J1"/>
    <mergeCell ref="A2:J2"/>
    <mergeCell ref="A5:AJ5"/>
    <mergeCell ref="A21:AJ21"/>
    <mergeCell ref="A33:AJ33"/>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4FB6"/>
  </sheetPr>
  <dimension ref="A1:AJ14"/>
  <sheetViews>
    <sheetView showGridLines="0" zoomScaleNormal="100" workbookViewId="0">
      <pane xSplit="5" ySplit="4" topLeftCell="F5" activePane="bottomRight" state="frozen"/>
      <selection pane="topRight" activeCell="F1" sqref="F1"/>
      <selection pane="bottomLeft" activeCell="A5" sqref="A5"/>
      <selection pane="bottomRight" activeCell="F5" sqref="F5"/>
    </sheetView>
  </sheetViews>
  <sheetFormatPr defaultColWidth="8.6640625" defaultRowHeight="14.4" x14ac:dyDescent="0.3"/>
  <cols>
    <col min="1" max="1" width="13" customWidth="1"/>
    <col min="2" max="2" width="30" customWidth="1"/>
    <col min="3" max="3" width="14" customWidth="1"/>
    <col min="4" max="4" width="12" customWidth="1"/>
    <col min="5" max="5" width="11" customWidth="1"/>
    <col min="6" max="36" width="7" customWidth="1"/>
  </cols>
  <sheetData>
    <row r="1" spans="1:36" ht="25.5" customHeight="1" x14ac:dyDescent="0.3">
      <c r="A1" s="14" t="s">
        <v>553</v>
      </c>
      <c r="B1" s="14"/>
      <c r="C1" s="14"/>
      <c r="D1" s="14"/>
      <c r="E1" s="14"/>
      <c r="F1" s="14"/>
      <c r="G1" s="14"/>
      <c r="H1" s="14"/>
      <c r="I1" s="14"/>
      <c r="J1" s="14"/>
    </row>
    <row r="2" spans="1:36" x14ac:dyDescent="0.3">
      <c r="A2" s="13" t="s">
        <v>554</v>
      </c>
      <c r="B2" s="13"/>
      <c r="C2" s="13"/>
      <c r="D2" s="13"/>
      <c r="E2" s="13"/>
      <c r="F2" s="13"/>
      <c r="G2" s="13"/>
      <c r="H2" s="13"/>
      <c r="I2" s="13"/>
      <c r="J2" s="13"/>
    </row>
    <row r="4" spans="1:36" ht="30" customHeight="1" x14ac:dyDescent="0.3">
      <c r="A4" s="15" t="s">
        <v>372</v>
      </c>
      <c r="B4" s="15" t="s">
        <v>374</v>
      </c>
      <c r="C4" s="15" t="s">
        <v>376</v>
      </c>
      <c r="D4" s="15" t="s">
        <v>375</v>
      </c>
      <c r="E4" s="15" t="s">
        <v>521</v>
      </c>
      <c r="F4" s="15" t="s">
        <v>522</v>
      </c>
      <c r="G4" s="15" t="s">
        <v>523</v>
      </c>
      <c r="H4" s="15" t="s">
        <v>524</v>
      </c>
      <c r="I4" s="15" t="s">
        <v>525</v>
      </c>
      <c r="J4" s="15" t="s">
        <v>526</v>
      </c>
      <c r="K4" s="15" t="s">
        <v>527</v>
      </c>
      <c r="L4" s="15" t="s">
        <v>528</v>
      </c>
      <c r="M4" s="15" t="s">
        <v>529</v>
      </c>
      <c r="N4" s="15" t="s">
        <v>530</v>
      </c>
      <c r="O4" s="15" t="s">
        <v>531</v>
      </c>
      <c r="P4" s="15" t="s">
        <v>532</v>
      </c>
      <c r="Q4" s="15" t="s">
        <v>533</v>
      </c>
      <c r="R4" s="15" t="s">
        <v>534</v>
      </c>
      <c r="S4" s="15" t="s">
        <v>535</v>
      </c>
      <c r="T4" s="15" t="s">
        <v>536</v>
      </c>
      <c r="U4" s="15" t="s">
        <v>537</v>
      </c>
      <c r="V4" s="15" t="s">
        <v>538</v>
      </c>
      <c r="W4" s="15" t="s">
        <v>539</v>
      </c>
      <c r="X4" s="15" t="s">
        <v>540</v>
      </c>
      <c r="Y4" s="15" t="s">
        <v>541</v>
      </c>
      <c r="Z4" s="15" t="s">
        <v>542</v>
      </c>
      <c r="AA4" s="15" t="s">
        <v>543</v>
      </c>
      <c r="AB4" s="15" t="s">
        <v>544</v>
      </c>
      <c r="AC4" s="15" t="s">
        <v>545</v>
      </c>
      <c r="AD4" s="15" t="s">
        <v>546</v>
      </c>
      <c r="AE4" s="15" t="s">
        <v>547</v>
      </c>
      <c r="AF4" s="15" t="s">
        <v>548</v>
      </c>
      <c r="AG4" s="15" t="s">
        <v>549</v>
      </c>
      <c r="AH4" s="15" t="s">
        <v>550</v>
      </c>
      <c r="AI4" s="15" t="s">
        <v>551</v>
      </c>
      <c r="AJ4" s="15" t="s">
        <v>552</v>
      </c>
    </row>
    <row r="5" spans="1:36" x14ac:dyDescent="0.3">
      <c r="A5" s="16" t="s">
        <v>292</v>
      </c>
      <c r="B5" s="16" t="s">
        <v>382</v>
      </c>
      <c r="C5" s="16" t="s">
        <v>117</v>
      </c>
      <c r="D5" s="26">
        <f>'Sub-Recipe'!I10</f>
        <v>20</v>
      </c>
      <c r="E5" s="24">
        <v>0</v>
      </c>
      <c r="F5" s="24">
        <v>8</v>
      </c>
      <c r="G5" s="24">
        <v>6</v>
      </c>
      <c r="H5" s="24">
        <v>4</v>
      </c>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row>
    <row r="6" spans="1:36" x14ac:dyDescent="0.3">
      <c r="A6" s="16" t="s">
        <v>306</v>
      </c>
      <c r="B6" s="16" t="s">
        <v>385</v>
      </c>
      <c r="C6" s="16" t="s">
        <v>308</v>
      </c>
      <c r="D6" s="26">
        <f>'Sub-Recipe'!I17</f>
        <v>20</v>
      </c>
      <c r="E6" s="24">
        <v>0</v>
      </c>
      <c r="F6" s="24">
        <v>10</v>
      </c>
      <c r="G6" s="24">
        <v>8</v>
      </c>
      <c r="H6" s="24">
        <v>6</v>
      </c>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row>
    <row r="7" spans="1:36" x14ac:dyDescent="0.3">
      <c r="A7" s="16" t="s">
        <v>325</v>
      </c>
      <c r="B7" s="16" t="s">
        <v>388</v>
      </c>
      <c r="C7" s="16" t="s">
        <v>117</v>
      </c>
      <c r="D7" s="26">
        <f>'Sub-Recipe'!I24</f>
        <v>10</v>
      </c>
      <c r="E7" s="24">
        <v>0</v>
      </c>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row>
    <row r="8" spans="1:36" x14ac:dyDescent="0.3">
      <c r="A8" s="16" t="s">
        <v>327</v>
      </c>
      <c r="B8" s="16" t="s">
        <v>391</v>
      </c>
      <c r="C8" s="16" t="s">
        <v>117</v>
      </c>
      <c r="D8" s="26">
        <f>'Sub-Recipe'!I30</f>
        <v>10</v>
      </c>
      <c r="E8" s="24">
        <v>0</v>
      </c>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row>
    <row r="9" spans="1:36" x14ac:dyDescent="0.3">
      <c r="A9" s="16" t="s">
        <v>339</v>
      </c>
      <c r="B9" s="16" t="s">
        <v>393</v>
      </c>
      <c r="C9" s="16" t="s">
        <v>341</v>
      </c>
      <c r="D9" s="26">
        <f>'Sub-Recipe'!I36</f>
        <v>5</v>
      </c>
      <c r="E9" s="24">
        <v>0</v>
      </c>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row>
    <row r="10" spans="1:36" x14ac:dyDescent="0.3">
      <c r="A10" s="16" t="s">
        <v>313</v>
      </c>
      <c r="B10" s="16" t="s">
        <v>395</v>
      </c>
      <c r="C10" s="16" t="s">
        <v>315</v>
      </c>
      <c r="D10" s="26">
        <f>'Sub-Recipe'!I43</f>
        <v>8</v>
      </c>
      <c r="E10" s="24">
        <v>0</v>
      </c>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row>
    <row r="11" spans="1:36" x14ac:dyDescent="0.3">
      <c r="A11" s="16" t="s">
        <v>318</v>
      </c>
      <c r="B11" s="16" t="s">
        <v>397</v>
      </c>
      <c r="C11" s="16" t="s">
        <v>320</v>
      </c>
      <c r="D11" s="26">
        <f>'Sub-Recipe'!I49</f>
        <v>8</v>
      </c>
      <c r="E11" s="24">
        <v>0</v>
      </c>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row>
    <row r="12" spans="1:36" x14ac:dyDescent="0.3">
      <c r="A12" s="16" t="s">
        <v>299</v>
      </c>
      <c r="B12" s="16" t="s">
        <v>400</v>
      </c>
      <c r="C12" s="16" t="s">
        <v>301</v>
      </c>
      <c r="D12" s="26">
        <f>'Sub-Recipe'!I55</f>
        <v>10</v>
      </c>
      <c r="E12" s="24">
        <v>0</v>
      </c>
      <c r="F12" s="24">
        <v>4</v>
      </c>
      <c r="G12" s="24">
        <v>3</v>
      </c>
      <c r="H12" s="24">
        <v>2</v>
      </c>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row>
    <row r="13" spans="1:36" x14ac:dyDescent="0.3">
      <c r="A13" s="16" t="s">
        <v>342</v>
      </c>
      <c r="B13" s="16" t="s">
        <v>402</v>
      </c>
      <c r="C13" s="16" t="s">
        <v>301</v>
      </c>
      <c r="D13" s="26">
        <f>'Sub-Recipe'!I61</f>
        <v>10</v>
      </c>
      <c r="E13" s="24">
        <v>0</v>
      </c>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row>
    <row r="14" spans="1:36" x14ac:dyDescent="0.3">
      <c r="A14" s="16" t="s">
        <v>356</v>
      </c>
      <c r="B14" s="16" t="s">
        <v>405</v>
      </c>
      <c r="C14" s="16" t="s">
        <v>358</v>
      </c>
      <c r="D14" s="26">
        <f>'Sub-Recipe'!I66</f>
        <v>20</v>
      </c>
      <c r="E14" s="24">
        <v>0</v>
      </c>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00020"/>
  </sheetPr>
  <dimension ref="A1:N64"/>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11" customWidth="1"/>
    <col min="2" max="2" width="12" customWidth="1"/>
    <col min="3" max="3" width="10" customWidth="1"/>
    <col min="4" max="4" width="24" customWidth="1"/>
    <col min="5" max="5" width="14" customWidth="1"/>
    <col min="6" max="6" width="8" customWidth="1"/>
    <col min="7" max="8" width="11" customWidth="1"/>
    <col min="9" max="10" width="12" customWidth="1"/>
    <col min="11" max="11" width="20" customWidth="1"/>
    <col min="12" max="14" width="14" customWidth="1"/>
  </cols>
  <sheetData>
    <row r="1" spans="1:14" ht="25.5" customHeight="1" x14ac:dyDescent="0.3">
      <c r="A1" s="14" t="s">
        <v>555</v>
      </c>
      <c r="B1" s="14"/>
      <c r="C1" s="14"/>
      <c r="D1" s="14"/>
      <c r="E1" s="14"/>
      <c r="F1" s="14"/>
      <c r="G1" s="14"/>
      <c r="H1" s="14"/>
      <c r="I1" s="14"/>
      <c r="J1" s="14"/>
    </row>
    <row r="2" spans="1:14" x14ac:dyDescent="0.3">
      <c r="A2" s="13" t="s">
        <v>556</v>
      </c>
      <c r="B2" s="13"/>
      <c r="C2" s="13"/>
      <c r="D2" s="13"/>
      <c r="E2" s="13"/>
      <c r="F2" s="13"/>
      <c r="G2" s="13"/>
      <c r="H2" s="13"/>
      <c r="I2" s="13"/>
      <c r="J2" s="13"/>
    </row>
    <row r="4" spans="1:14" ht="30" customHeight="1" x14ac:dyDescent="0.3">
      <c r="A4" s="15" t="s">
        <v>557</v>
      </c>
      <c r="B4" s="15" t="s">
        <v>558</v>
      </c>
      <c r="C4" s="15" t="s">
        <v>559</v>
      </c>
      <c r="D4" s="15" t="s">
        <v>560</v>
      </c>
      <c r="E4" s="15" t="s">
        <v>30</v>
      </c>
      <c r="F4" s="15" t="s">
        <v>96</v>
      </c>
      <c r="G4" s="15" t="s">
        <v>561</v>
      </c>
      <c r="H4" s="15" t="s">
        <v>475</v>
      </c>
      <c r="I4" s="15" t="s">
        <v>562</v>
      </c>
      <c r="J4" s="15" t="s">
        <v>563</v>
      </c>
      <c r="K4" s="15" t="s">
        <v>564</v>
      </c>
      <c r="L4" s="15" t="s">
        <v>565</v>
      </c>
      <c r="M4" s="15" t="s">
        <v>566</v>
      </c>
      <c r="N4" s="15" t="s">
        <v>567</v>
      </c>
    </row>
    <row r="5" spans="1:14" x14ac:dyDescent="0.3">
      <c r="A5" s="16" t="str">
        <f t="shared" ref="A5:A36" si="0">IF(C5="","","WST-"&amp;TEXT(ROW()-4,"000"))</f>
        <v>WST-001</v>
      </c>
      <c r="B5" s="47">
        <v>46205</v>
      </c>
      <c r="C5" s="48" t="s">
        <v>110</v>
      </c>
      <c r="D5" s="48" t="s">
        <v>111</v>
      </c>
      <c r="E5" s="48" t="s">
        <v>199</v>
      </c>
      <c r="F5" s="48" t="s">
        <v>102</v>
      </c>
      <c r="G5" s="24">
        <v>1.5</v>
      </c>
      <c r="H5" s="25">
        <f>IFERROR(INDEX('Item Master'!$E$4:$E$41,MATCH(C5,'Item Master'!$A$4:$A$41,0)),0)</f>
        <v>55</v>
      </c>
      <c r="I5" s="19">
        <f t="shared" ref="I5:I36" si="1">IFERROR(G5*H5,0)</f>
        <v>82.5</v>
      </c>
      <c r="J5" s="48" t="s">
        <v>568</v>
      </c>
      <c r="K5" s="48" t="s">
        <v>569</v>
      </c>
      <c r="L5" s="48" t="s">
        <v>570</v>
      </c>
      <c r="M5" s="48" t="s">
        <v>571</v>
      </c>
      <c r="N5" s="48" t="s">
        <v>572</v>
      </c>
    </row>
    <row r="6" spans="1:14" x14ac:dyDescent="0.3">
      <c r="A6" s="16" t="str">
        <f t="shared" si="0"/>
        <v>WST-002</v>
      </c>
      <c r="B6" s="47">
        <v>46206</v>
      </c>
      <c r="C6" s="48" t="s">
        <v>107</v>
      </c>
      <c r="D6" s="48" t="s">
        <v>108</v>
      </c>
      <c r="E6" s="48" t="s">
        <v>199</v>
      </c>
      <c r="F6" s="48" t="s">
        <v>102</v>
      </c>
      <c r="G6" s="24">
        <v>0.8</v>
      </c>
      <c r="H6" s="25">
        <f>IFERROR(INDEX('Item Master'!$E$4:$E$41,MATCH(C6,'Item Master'!$A$4:$A$41,0)),0)</f>
        <v>60</v>
      </c>
      <c r="I6" s="19">
        <f t="shared" si="1"/>
        <v>48</v>
      </c>
      <c r="J6" s="48" t="s">
        <v>568</v>
      </c>
      <c r="K6" s="48" t="s">
        <v>573</v>
      </c>
      <c r="L6" s="48" t="s">
        <v>570</v>
      </c>
      <c r="M6" s="48" t="s">
        <v>571</v>
      </c>
      <c r="N6" s="48" t="s">
        <v>572</v>
      </c>
    </row>
    <row r="7" spans="1:14" x14ac:dyDescent="0.3">
      <c r="A7" s="16" t="str">
        <f t="shared" si="0"/>
        <v>WST-003</v>
      </c>
      <c r="B7" s="47">
        <v>46207</v>
      </c>
      <c r="C7" s="48" t="s">
        <v>144</v>
      </c>
      <c r="D7" s="48" t="s">
        <v>145</v>
      </c>
      <c r="E7" s="48" t="s">
        <v>245</v>
      </c>
      <c r="F7" s="48" t="s">
        <v>147</v>
      </c>
      <c r="G7" s="24">
        <v>1</v>
      </c>
      <c r="H7" s="25">
        <f>IFERROR(INDEX('Item Master'!$E$4:$E$41,MATCH(C7,'Item Master'!$A$4:$A$41,0)),0)</f>
        <v>65</v>
      </c>
      <c r="I7" s="19">
        <f t="shared" si="1"/>
        <v>65</v>
      </c>
      <c r="J7" s="48" t="s">
        <v>574</v>
      </c>
      <c r="K7" s="48" t="s">
        <v>575</v>
      </c>
      <c r="L7" s="48" t="s">
        <v>576</v>
      </c>
      <c r="M7" s="48" t="s">
        <v>577</v>
      </c>
      <c r="N7" s="48" t="s">
        <v>572</v>
      </c>
    </row>
    <row r="8" spans="1:14" x14ac:dyDescent="0.3">
      <c r="A8" s="16" t="str">
        <f t="shared" si="0"/>
        <v>WST-004</v>
      </c>
      <c r="B8" s="47">
        <v>46208</v>
      </c>
      <c r="C8" s="48" t="s">
        <v>123</v>
      </c>
      <c r="D8" s="48" t="s">
        <v>124</v>
      </c>
      <c r="E8" s="48" t="s">
        <v>199</v>
      </c>
      <c r="F8" s="48" t="s">
        <v>117</v>
      </c>
      <c r="G8" s="24">
        <v>3</v>
      </c>
      <c r="H8" s="25">
        <f>IFERROR(INDEX('Item Master'!$E$4:$E$41,MATCH(C8,'Item Master'!$A$4:$A$41,0)),0)</f>
        <v>8</v>
      </c>
      <c r="I8" s="19">
        <f t="shared" si="1"/>
        <v>24</v>
      </c>
      <c r="J8" s="48" t="s">
        <v>578</v>
      </c>
      <c r="K8" s="48" t="s">
        <v>579</v>
      </c>
      <c r="L8" s="48" t="s">
        <v>570</v>
      </c>
      <c r="M8" s="48" t="s">
        <v>571</v>
      </c>
      <c r="N8" s="48" t="s">
        <v>572</v>
      </c>
    </row>
    <row r="9" spans="1:14" x14ac:dyDescent="0.3">
      <c r="A9" s="16" t="str">
        <f t="shared" si="0"/>
        <v/>
      </c>
      <c r="B9" s="47"/>
      <c r="C9" s="48"/>
      <c r="D9" s="48"/>
      <c r="E9" s="48"/>
      <c r="F9" s="48"/>
      <c r="G9" s="24"/>
      <c r="H9" s="25">
        <f>IFERROR(INDEX('Item Master'!$E$4:$E$41,MATCH(C9,'Item Master'!$A$4:$A$41,0)),0)</f>
        <v>0</v>
      </c>
      <c r="I9" s="19">
        <f t="shared" si="1"/>
        <v>0</v>
      </c>
      <c r="J9" s="48"/>
      <c r="K9" s="48"/>
      <c r="L9" s="48"/>
      <c r="M9" s="48"/>
      <c r="N9" s="48"/>
    </row>
    <row r="10" spans="1:14" x14ac:dyDescent="0.3">
      <c r="A10" s="16" t="str">
        <f t="shared" si="0"/>
        <v/>
      </c>
      <c r="B10" s="47"/>
      <c r="C10" s="48"/>
      <c r="D10" s="48"/>
      <c r="E10" s="48"/>
      <c r="F10" s="48"/>
      <c r="G10" s="24"/>
      <c r="H10" s="25">
        <f>IFERROR(INDEX('Item Master'!$E$4:$E$41,MATCH(C10,'Item Master'!$A$4:$A$41,0)),0)</f>
        <v>0</v>
      </c>
      <c r="I10" s="19">
        <f t="shared" si="1"/>
        <v>0</v>
      </c>
      <c r="J10" s="48"/>
      <c r="K10" s="48"/>
      <c r="L10" s="48"/>
      <c r="M10" s="48"/>
      <c r="N10" s="48"/>
    </row>
    <row r="11" spans="1:14" x14ac:dyDescent="0.3">
      <c r="A11" s="16" t="str">
        <f t="shared" si="0"/>
        <v/>
      </c>
      <c r="B11" s="47"/>
      <c r="C11" s="48"/>
      <c r="D11" s="48"/>
      <c r="E11" s="48"/>
      <c r="F11" s="48"/>
      <c r="G11" s="24"/>
      <c r="H11" s="25">
        <f>IFERROR(INDEX('Item Master'!$E$4:$E$41,MATCH(C11,'Item Master'!$A$4:$A$41,0)),0)</f>
        <v>0</v>
      </c>
      <c r="I11" s="19">
        <f t="shared" si="1"/>
        <v>0</v>
      </c>
      <c r="J11" s="48"/>
      <c r="K11" s="48"/>
      <c r="L11" s="48"/>
      <c r="M11" s="48"/>
      <c r="N11" s="48"/>
    </row>
    <row r="12" spans="1:14" x14ac:dyDescent="0.3">
      <c r="A12" s="16" t="str">
        <f t="shared" si="0"/>
        <v/>
      </c>
      <c r="B12" s="47"/>
      <c r="C12" s="48"/>
      <c r="D12" s="48"/>
      <c r="E12" s="48"/>
      <c r="F12" s="48"/>
      <c r="G12" s="24"/>
      <c r="H12" s="25">
        <f>IFERROR(INDEX('Item Master'!$E$4:$E$41,MATCH(C12,'Item Master'!$A$4:$A$41,0)),0)</f>
        <v>0</v>
      </c>
      <c r="I12" s="19">
        <f t="shared" si="1"/>
        <v>0</v>
      </c>
      <c r="J12" s="48"/>
      <c r="K12" s="48"/>
      <c r="L12" s="48"/>
      <c r="M12" s="48"/>
      <c r="N12" s="48"/>
    </row>
    <row r="13" spans="1:14" x14ac:dyDescent="0.3">
      <c r="A13" s="16" t="str">
        <f t="shared" si="0"/>
        <v/>
      </c>
      <c r="B13" s="47"/>
      <c r="C13" s="48"/>
      <c r="D13" s="48"/>
      <c r="E13" s="48"/>
      <c r="F13" s="48"/>
      <c r="G13" s="24"/>
      <c r="H13" s="25">
        <f>IFERROR(INDEX('Item Master'!$E$4:$E$41,MATCH(C13,'Item Master'!$A$4:$A$41,0)),0)</f>
        <v>0</v>
      </c>
      <c r="I13" s="19">
        <f t="shared" si="1"/>
        <v>0</v>
      </c>
      <c r="J13" s="48"/>
      <c r="K13" s="48"/>
      <c r="L13" s="48"/>
      <c r="M13" s="48"/>
      <c r="N13" s="48"/>
    </row>
    <row r="14" spans="1:14" x14ac:dyDescent="0.3">
      <c r="A14" s="16" t="str">
        <f t="shared" si="0"/>
        <v/>
      </c>
      <c r="B14" s="47"/>
      <c r="C14" s="48"/>
      <c r="D14" s="48"/>
      <c r="E14" s="48"/>
      <c r="F14" s="48"/>
      <c r="G14" s="24"/>
      <c r="H14" s="25">
        <f>IFERROR(INDEX('Item Master'!$E$4:$E$41,MATCH(C14,'Item Master'!$A$4:$A$41,0)),0)</f>
        <v>0</v>
      </c>
      <c r="I14" s="19">
        <f t="shared" si="1"/>
        <v>0</v>
      </c>
      <c r="J14" s="48"/>
      <c r="K14" s="48"/>
      <c r="L14" s="48"/>
      <c r="M14" s="48"/>
      <c r="N14" s="48"/>
    </row>
    <row r="15" spans="1:14" x14ac:dyDescent="0.3">
      <c r="A15" s="16" t="str">
        <f t="shared" si="0"/>
        <v/>
      </c>
      <c r="B15" s="47"/>
      <c r="C15" s="48"/>
      <c r="D15" s="48"/>
      <c r="E15" s="48"/>
      <c r="F15" s="48"/>
      <c r="G15" s="24"/>
      <c r="H15" s="25">
        <f>IFERROR(INDEX('Item Master'!$E$4:$E$41,MATCH(C15,'Item Master'!$A$4:$A$41,0)),0)</f>
        <v>0</v>
      </c>
      <c r="I15" s="19">
        <f t="shared" si="1"/>
        <v>0</v>
      </c>
      <c r="J15" s="48"/>
      <c r="K15" s="48"/>
      <c r="L15" s="48"/>
      <c r="M15" s="48"/>
      <c r="N15" s="48"/>
    </row>
    <row r="16" spans="1:14" x14ac:dyDescent="0.3">
      <c r="A16" s="16" t="str">
        <f t="shared" si="0"/>
        <v/>
      </c>
      <c r="B16" s="47"/>
      <c r="C16" s="48"/>
      <c r="D16" s="48"/>
      <c r="E16" s="48"/>
      <c r="F16" s="48"/>
      <c r="G16" s="24"/>
      <c r="H16" s="25">
        <f>IFERROR(INDEX('Item Master'!$E$4:$E$41,MATCH(C16,'Item Master'!$A$4:$A$41,0)),0)</f>
        <v>0</v>
      </c>
      <c r="I16" s="19">
        <f t="shared" si="1"/>
        <v>0</v>
      </c>
      <c r="J16" s="48"/>
      <c r="K16" s="48"/>
      <c r="L16" s="48"/>
      <c r="M16" s="48"/>
      <c r="N16" s="48"/>
    </row>
    <row r="17" spans="1:14" x14ac:dyDescent="0.3">
      <c r="A17" s="16" t="str">
        <f t="shared" si="0"/>
        <v/>
      </c>
      <c r="B17" s="47"/>
      <c r="C17" s="48"/>
      <c r="D17" s="48"/>
      <c r="E17" s="48"/>
      <c r="F17" s="48"/>
      <c r="G17" s="24"/>
      <c r="H17" s="25">
        <f>IFERROR(INDEX('Item Master'!$E$4:$E$41,MATCH(C17,'Item Master'!$A$4:$A$41,0)),0)</f>
        <v>0</v>
      </c>
      <c r="I17" s="19">
        <f t="shared" si="1"/>
        <v>0</v>
      </c>
      <c r="J17" s="48"/>
      <c r="K17" s="48"/>
      <c r="L17" s="48"/>
      <c r="M17" s="48"/>
      <c r="N17" s="48"/>
    </row>
    <row r="18" spans="1:14" x14ac:dyDescent="0.3">
      <c r="A18" s="16" t="str">
        <f t="shared" si="0"/>
        <v/>
      </c>
      <c r="B18" s="47"/>
      <c r="C18" s="48"/>
      <c r="D18" s="48"/>
      <c r="E18" s="48"/>
      <c r="F18" s="48"/>
      <c r="G18" s="24"/>
      <c r="H18" s="25">
        <f>IFERROR(INDEX('Item Master'!$E$4:$E$41,MATCH(C18,'Item Master'!$A$4:$A$41,0)),0)</f>
        <v>0</v>
      </c>
      <c r="I18" s="19">
        <f t="shared" si="1"/>
        <v>0</v>
      </c>
      <c r="J18" s="48"/>
      <c r="K18" s="48"/>
      <c r="L18" s="48"/>
      <c r="M18" s="48"/>
      <c r="N18" s="48"/>
    </row>
    <row r="19" spans="1:14" x14ac:dyDescent="0.3">
      <c r="A19" s="16" t="str">
        <f t="shared" si="0"/>
        <v/>
      </c>
      <c r="B19" s="47"/>
      <c r="C19" s="48"/>
      <c r="D19" s="48"/>
      <c r="E19" s="48"/>
      <c r="F19" s="48"/>
      <c r="G19" s="24"/>
      <c r="H19" s="25">
        <f>IFERROR(INDEX('Item Master'!$E$4:$E$41,MATCH(C19,'Item Master'!$A$4:$A$41,0)),0)</f>
        <v>0</v>
      </c>
      <c r="I19" s="19">
        <f t="shared" si="1"/>
        <v>0</v>
      </c>
      <c r="J19" s="48"/>
      <c r="K19" s="48"/>
      <c r="L19" s="48"/>
      <c r="M19" s="48"/>
      <c r="N19" s="48"/>
    </row>
    <row r="20" spans="1:14" x14ac:dyDescent="0.3">
      <c r="A20" s="16" t="str">
        <f t="shared" si="0"/>
        <v/>
      </c>
      <c r="B20" s="47"/>
      <c r="C20" s="48"/>
      <c r="D20" s="48"/>
      <c r="E20" s="48"/>
      <c r="F20" s="48"/>
      <c r="G20" s="24"/>
      <c r="H20" s="25">
        <f>IFERROR(INDEX('Item Master'!$E$4:$E$41,MATCH(C20,'Item Master'!$A$4:$A$41,0)),0)</f>
        <v>0</v>
      </c>
      <c r="I20" s="19">
        <f t="shared" si="1"/>
        <v>0</v>
      </c>
      <c r="J20" s="48"/>
      <c r="K20" s="48"/>
      <c r="L20" s="48"/>
      <c r="M20" s="48"/>
      <c r="N20" s="48"/>
    </row>
    <row r="21" spans="1:14" x14ac:dyDescent="0.3">
      <c r="A21" s="16" t="str">
        <f t="shared" si="0"/>
        <v/>
      </c>
      <c r="B21" s="47"/>
      <c r="C21" s="48"/>
      <c r="D21" s="48"/>
      <c r="E21" s="48"/>
      <c r="F21" s="48"/>
      <c r="G21" s="24"/>
      <c r="H21" s="25">
        <f>IFERROR(INDEX('Item Master'!$E$4:$E$41,MATCH(C21,'Item Master'!$A$4:$A$41,0)),0)</f>
        <v>0</v>
      </c>
      <c r="I21" s="19">
        <f t="shared" si="1"/>
        <v>0</v>
      </c>
      <c r="J21" s="48"/>
      <c r="K21" s="48"/>
      <c r="L21" s="48"/>
      <c r="M21" s="48"/>
      <c r="N21" s="48"/>
    </row>
    <row r="22" spans="1:14" x14ac:dyDescent="0.3">
      <c r="A22" s="16" t="str">
        <f t="shared" si="0"/>
        <v/>
      </c>
      <c r="B22" s="47"/>
      <c r="C22" s="48"/>
      <c r="D22" s="48"/>
      <c r="E22" s="48"/>
      <c r="F22" s="48"/>
      <c r="G22" s="24"/>
      <c r="H22" s="25">
        <f>IFERROR(INDEX('Item Master'!$E$4:$E$41,MATCH(C22,'Item Master'!$A$4:$A$41,0)),0)</f>
        <v>0</v>
      </c>
      <c r="I22" s="19">
        <f t="shared" si="1"/>
        <v>0</v>
      </c>
      <c r="J22" s="48"/>
      <c r="K22" s="48"/>
      <c r="L22" s="48"/>
      <c r="M22" s="48"/>
      <c r="N22" s="48"/>
    </row>
    <row r="23" spans="1:14" x14ac:dyDescent="0.3">
      <c r="A23" s="16" t="str">
        <f t="shared" si="0"/>
        <v/>
      </c>
      <c r="B23" s="47"/>
      <c r="C23" s="48"/>
      <c r="D23" s="48"/>
      <c r="E23" s="48"/>
      <c r="F23" s="48"/>
      <c r="G23" s="24"/>
      <c r="H23" s="25">
        <f>IFERROR(INDEX('Item Master'!$E$4:$E$41,MATCH(C23,'Item Master'!$A$4:$A$41,0)),0)</f>
        <v>0</v>
      </c>
      <c r="I23" s="19">
        <f t="shared" si="1"/>
        <v>0</v>
      </c>
      <c r="J23" s="48"/>
      <c r="K23" s="48"/>
      <c r="L23" s="48"/>
      <c r="M23" s="48"/>
      <c r="N23" s="48"/>
    </row>
    <row r="24" spans="1:14" x14ac:dyDescent="0.3">
      <c r="A24" s="16" t="str">
        <f t="shared" si="0"/>
        <v/>
      </c>
      <c r="B24" s="47"/>
      <c r="C24" s="48"/>
      <c r="D24" s="48"/>
      <c r="E24" s="48"/>
      <c r="F24" s="48"/>
      <c r="G24" s="24"/>
      <c r="H24" s="25">
        <f>IFERROR(INDEX('Item Master'!$E$4:$E$41,MATCH(C24,'Item Master'!$A$4:$A$41,0)),0)</f>
        <v>0</v>
      </c>
      <c r="I24" s="19">
        <f t="shared" si="1"/>
        <v>0</v>
      </c>
      <c r="J24" s="48"/>
      <c r="K24" s="48"/>
      <c r="L24" s="48"/>
      <c r="M24" s="48"/>
      <c r="N24" s="48"/>
    </row>
    <row r="25" spans="1:14" x14ac:dyDescent="0.3">
      <c r="A25" s="16" t="str">
        <f t="shared" si="0"/>
        <v/>
      </c>
      <c r="B25" s="47"/>
      <c r="C25" s="48"/>
      <c r="D25" s="48"/>
      <c r="E25" s="48"/>
      <c r="F25" s="48"/>
      <c r="G25" s="24"/>
      <c r="H25" s="25">
        <f>IFERROR(INDEX('Item Master'!$E$4:$E$41,MATCH(C25,'Item Master'!$A$4:$A$41,0)),0)</f>
        <v>0</v>
      </c>
      <c r="I25" s="19">
        <f t="shared" si="1"/>
        <v>0</v>
      </c>
      <c r="J25" s="48"/>
      <c r="K25" s="48"/>
      <c r="L25" s="48"/>
      <c r="M25" s="48"/>
      <c r="N25" s="48"/>
    </row>
    <row r="26" spans="1:14" x14ac:dyDescent="0.3">
      <c r="A26" s="16" t="str">
        <f t="shared" si="0"/>
        <v/>
      </c>
      <c r="B26" s="47"/>
      <c r="C26" s="48"/>
      <c r="D26" s="48"/>
      <c r="E26" s="48"/>
      <c r="F26" s="48"/>
      <c r="G26" s="24"/>
      <c r="H26" s="25">
        <f>IFERROR(INDEX('Item Master'!$E$4:$E$41,MATCH(C26,'Item Master'!$A$4:$A$41,0)),0)</f>
        <v>0</v>
      </c>
      <c r="I26" s="19">
        <f t="shared" si="1"/>
        <v>0</v>
      </c>
      <c r="J26" s="48"/>
      <c r="K26" s="48"/>
      <c r="L26" s="48"/>
      <c r="M26" s="48"/>
      <c r="N26" s="48"/>
    </row>
    <row r="27" spans="1:14" x14ac:dyDescent="0.3">
      <c r="A27" s="16" t="str">
        <f t="shared" si="0"/>
        <v/>
      </c>
      <c r="B27" s="47"/>
      <c r="C27" s="48"/>
      <c r="D27" s="48"/>
      <c r="E27" s="48"/>
      <c r="F27" s="48"/>
      <c r="G27" s="24"/>
      <c r="H27" s="25">
        <f>IFERROR(INDEX('Item Master'!$E$4:$E$41,MATCH(C27,'Item Master'!$A$4:$A$41,0)),0)</f>
        <v>0</v>
      </c>
      <c r="I27" s="19">
        <f t="shared" si="1"/>
        <v>0</v>
      </c>
      <c r="J27" s="48"/>
      <c r="K27" s="48"/>
      <c r="L27" s="48"/>
      <c r="M27" s="48"/>
      <c r="N27" s="48"/>
    </row>
    <row r="28" spans="1:14" x14ac:dyDescent="0.3">
      <c r="A28" s="16" t="str">
        <f t="shared" si="0"/>
        <v/>
      </c>
      <c r="B28" s="47"/>
      <c r="C28" s="48"/>
      <c r="D28" s="48"/>
      <c r="E28" s="48"/>
      <c r="F28" s="48"/>
      <c r="G28" s="24"/>
      <c r="H28" s="25">
        <f>IFERROR(INDEX('Item Master'!$E$4:$E$41,MATCH(C28,'Item Master'!$A$4:$A$41,0)),0)</f>
        <v>0</v>
      </c>
      <c r="I28" s="19">
        <f t="shared" si="1"/>
        <v>0</v>
      </c>
      <c r="J28" s="48"/>
      <c r="K28" s="48"/>
      <c r="L28" s="48"/>
      <c r="M28" s="48"/>
      <c r="N28" s="48"/>
    </row>
    <row r="29" spans="1:14" x14ac:dyDescent="0.3">
      <c r="A29" s="16" t="str">
        <f t="shared" si="0"/>
        <v/>
      </c>
      <c r="B29" s="47"/>
      <c r="C29" s="48"/>
      <c r="D29" s="48"/>
      <c r="E29" s="48"/>
      <c r="F29" s="48"/>
      <c r="G29" s="24"/>
      <c r="H29" s="25">
        <f>IFERROR(INDEX('Item Master'!$E$4:$E$41,MATCH(C29,'Item Master'!$A$4:$A$41,0)),0)</f>
        <v>0</v>
      </c>
      <c r="I29" s="19">
        <f t="shared" si="1"/>
        <v>0</v>
      </c>
      <c r="J29" s="48"/>
      <c r="K29" s="48"/>
      <c r="L29" s="48"/>
      <c r="M29" s="48"/>
      <c r="N29" s="48"/>
    </row>
    <row r="30" spans="1:14" x14ac:dyDescent="0.3">
      <c r="A30" s="16" t="str">
        <f t="shared" si="0"/>
        <v/>
      </c>
      <c r="B30" s="47"/>
      <c r="C30" s="48"/>
      <c r="D30" s="48"/>
      <c r="E30" s="48"/>
      <c r="F30" s="48"/>
      <c r="G30" s="24"/>
      <c r="H30" s="25">
        <f>IFERROR(INDEX('Item Master'!$E$4:$E$41,MATCH(C30,'Item Master'!$A$4:$A$41,0)),0)</f>
        <v>0</v>
      </c>
      <c r="I30" s="19">
        <f t="shared" si="1"/>
        <v>0</v>
      </c>
      <c r="J30" s="48"/>
      <c r="K30" s="48"/>
      <c r="L30" s="48"/>
      <c r="M30" s="48"/>
      <c r="N30" s="48"/>
    </row>
    <row r="31" spans="1:14" x14ac:dyDescent="0.3">
      <c r="A31" s="16" t="str">
        <f t="shared" si="0"/>
        <v/>
      </c>
      <c r="B31" s="47"/>
      <c r="C31" s="48"/>
      <c r="D31" s="48"/>
      <c r="E31" s="48"/>
      <c r="F31" s="48"/>
      <c r="G31" s="24"/>
      <c r="H31" s="25">
        <f>IFERROR(INDEX('Item Master'!$E$4:$E$41,MATCH(C31,'Item Master'!$A$4:$A$41,0)),0)</f>
        <v>0</v>
      </c>
      <c r="I31" s="19">
        <f t="shared" si="1"/>
        <v>0</v>
      </c>
      <c r="J31" s="48"/>
      <c r="K31" s="48"/>
      <c r="L31" s="48"/>
      <c r="M31" s="48"/>
      <c r="N31" s="48"/>
    </row>
    <row r="32" spans="1:14" x14ac:dyDescent="0.3">
      <c r="A32" s="16" t="str">
        <f t="shared" si="0"/>
        <v/>
      </c>
      <c r="B32" s="47"/>
      <c r="C32" s="48"/>
      <c r="D32" s="48"/>
      <c r="E32" s="48"/>
      <c r="F32" s="48"/>
      <c r="G32" s="24"/>
      <c r="H32" s="25">
        <f>IFERROR(INDEX('Item Master'!$E$4:$E$41,MATCH(C32,'Item Master'!$A$4:$A$41,0)),0)</f>
        <v>0</v>
      </c>
      <c r="I32" s="19">
        <f t="shared" si="1"/>
        <v>0</v>
      </c>
      <c r="J32" s="48"/>
      <c r="K32" s="48"/>
      <c r="L32" s="48"/>
      <c r="M32" s="48"/>
      <c r="N32" s="48"/>
    </row>
    <row r="33" spans="1:14" x14ac:dyDescent="0.3">
      <c r="A33" s="16" t="str">
        <f t="shared" si="0"/>
        <v/>
      </c>
      <c r="B33" s="47"/>
      <c r="C33" s="48"/>
      <c r="D33" s="48"/>
      <c r="E33" s="48"/>
      <c r="F33" s="48"/>
      <c r="G33" s="24"/>
      <c r="H33" s="25">
        <f>IFERROR(INDEX('Item Master'!$E$4:$E$41,MATCH(C33,'Item Master'!$A$4:$A$41,0)),0)</f>
        <v>0</v>
      </c>
      <c r="I33" s="19">
        <f t="shared" si="1"/>
        <v>0</v>
      </c>
      <c r="J33" s="48"/>
      <c r="K33" s="48"/>
      <c r="L33" s="48"/>
      <c r="M33" s="48"/>
      <c r="N33" s="48"/>
    </row>
    <row r="34" spans="1:14" x14ac:dyDescent="0.3">
      <c r="A34" s="16" t="str">
        <f t="shared" si="0"/>
        <v/>
      </c>
      <c r="B34" s="47"/>
      <c r="C34" s="48"/>
      <c r="D34" s="48"/>
      <c r="E34" s="48"/>
      <c r="F34" s="48"/>
      <c r="G34" s="24"/>
      <c r="H34" s="25">
        <f>IFERROR(INDEX('Item Master'!$E$4:$E$41,MATCH(C34,'Item Master'!$A$4:$A$41,0)),0)</f>
        <v>0</v>
      </c>
      <c r="I34" s="19">
        <f t="shared" si="1"/>
        <v>0</v>
      </c>
      <c r="J34" s="48"/>
      <c r="K34" s="48"/>
      <c r="L34" s="48"/>
      <c r="M34" s="48"/>
      <c r="N34" s="48"/>
    </row>
    <row r="35" spans="1:14" x14ac:dyDescent="0.3">
      <c r="A35" s="16" t="str">
        <f t="shared" si="0"/>
        <v/>
      </c>
      <c r="B35" s="47"/>
      <c r="C35" s="48"/>
      <c r="D35" s="48"/>
      <c r="E35" s="48"/>
      <c r="F35" s="48"/>
      <c r="G35" s="24"/>
      <c r="H35" s="25">
        <f>IFERROR(INDEX('Item Master'!$E$4:$E$41,MATCH(C35,'Item Master'!$A$4:$A$41,0)),0)</f>
        <v>0</v>
      </c>
      <c r="I35" s="19">
        <f t="shared" si="1"/>
        <v>0</v>
      </c>
      <c r="J35" s="48"/>
      <c r="K35" s="48"/>
      <c r="L35" s="48"/>
      <c r="M35" s="48"/>
      <c r="N35" s="48"/>
    </row>
    <row r="36" spans="1:14" x14ac:dyDescent="0.3">
      <c r="A36" s="16" t="str">
        <f t="shared" si="0"/>
        <v/>
      </c>
      <c r="B36" s="47"/>
      <c r="C36" s="48"/>
      <c r="D36" s="48"/>
      <c r="E36" s="48"/>
      <c r="F36" s="48"/>
      <c r="G36" s="24"/>
      <c r="H36" s="25">
        <f>IFERROR(INDEX('Item Master'!$E$4:$E$41,MATCH(C36,'Item Master'!$A$4:$A$41,0)),0)</f>
        <v>0</v>
      </c>
      <c r="I36" s="19">
        <f t="shared" si="1"/>
        <v>0</v>
      </c>
      <c r="J36" s="48"/>
      <c r="K36" s="48"/>
      <c r="L36" s="48"/>
      <c r="M36" s="48"/>
      <c r="N36" s="48"/>
    </row>
    <row r="37" spans="1:14" x14ac:dyDescent="0.3">
      <c r="A37" s="16" t="str">
        <f t="shared" ref="A37:A64" si="2">IF(C37="","","WST-"&amp;TEXT(ROW()-4,"000"))</f>
        <v/>
      </c>
      <c r="B37" s="47"/>
      <c r="C37" s="48"/>
      <c r="D37" s="48"/>
      <c r="E37" s="48"/>
      <c r="F37" s="48"/>
      <c r="G37" s="24"/>
      <c r="H37" s="25">
        <f>IFERROR(INDEX('Item Master'!$E$4:$E$41,MATCH(C37,'Item Master'!$A$4:$A$41,0)),0)</f>
        <v>0</v>
      </c>
      <c r="I37" s="19">
        <f t="shared" ref="I37:I68" si="3">IFERROR(G37*H37,0)</f>
        <v>0</v>
      </c>
      <c r="J37" s="48"/>
      <c r="K37" s="48"/>
      <c r="L37" s="48"/>
      <c r="M37" s="48"/>
      <c r="N37" s="48"/>
    </row>
    <row r="38" spans="1:14" x14ac:dyDescent="0.3">
      <c r="A38" s="16" t="str">
        <f t="shared" si="2"/>
        <v/>
      </c>
      <c r="B38" s="47"/>
      <c r="C38" s="48"/>
      <c r="D38" s="48"/>
      <c r="E38" s="48"/>
      <c r="F38" s="48"/>
      <c r="G38" s="24"/>
      <c r="H38" s="25">
        <f>IFERROR(INDEX('Item Master'!$E$4:$E$41,MATCH(C38,'Item Master'!$A$4:$A$41,0)),0)</f>
        <v>0</v>
      </c>
      <c r="I38" s="19">
        <f t="shared" si="3"/>
        <v>0</v>
      </c>
      <c r="J38" s="48"/>
      <c r="K38" s="48"/>
      <c r="L38" s="48"/>
      <c r="M38" s="48"/>
      <c r="N38" s="48"/>
    </row>
    <row r="39" spans="1:14" x14ac:dyDescent="0.3">
      <c r="A39" s="16" t="str">
        <f t="shared" si="2"/>
        <v/>
      </c>
      <c r="B39" s="47"/>
      <c r="C39" s="48"/>
      <c r="D39" s="48"/>
      <c r="E39" s="48"/>
      <c r="F39" s="48"/>
      <c r="G39" s="24"/>
      <c r="H39" s="25">
        <f>IFERROR(INDEX('Item Master'!$E$4:$E$41,MATCH(C39,'Item Master'!$A$4:$A$41,0)),0)</f>
        <v>0</v>
      </c>
      <c r="I39" s="19">
        <f t="shared" si="3"/>
        <v>0</v>
      </c>
      <c r="J39" s="48"/>
      <c r="K39" s="48"/>
      <c r="L39" s="48"/>
      <c r="M39" s="48"/>
      <c r="N39" s="48"/>
    </row>
    <row r="40" spans="1:14" x14ac:dyDescent="0.3">
      <c r="A40" s="16" t="str">
        <f t="shared" si="2"/>
        <v/>
      </c>
      <c r="B40" s="47"/>
      <c r="C40" s="48"/>
      <c r="D40" s="48"/>
      <c r="E40" s="48"/>
      <c r="F40" s="48"/>
      <c r="G40" s="24"/>
      <c r="H40" s="25">
        <f>IFERROR(INDEX('Item Master'!$E$4:$E$41,MATCH(C40,'Item Master'!$A$4:$A$41,0)),0)</f>
        <v>0</v>
      </c>
      <c r="I40" s="19">
        <f t="shared" si="3"/>
        <v>0</v>
      </c>
      <c r="J40" s="48"/>
      <c r="K40" s="48"/>
      <c r="L40" s="48"/>
      <c r="M40" s="48"/>
      <c r="N40" s="48"/>
    </row>
    <row r="41" spans="1:14" x14ac:dyDescent="0.3">
      <c r="A41" s="16" t="str">
        <f t="shared" si="2"/>
        <v/>
      </c>
      <c r="B41" s="47"/>
      <c r="C41" s="48"/>
      <c r="D41" s="48"/>
      <c r="E41" s="48"/>
      <c r="F41" s="48"/>
      <c r="G41" s="24"/>
      <c r="H41" s="25">
        <f>IFERROR(INDEX('Item Master'!$E$4:$E$41,MATCH(C41,'Item Master'!$A$4:$A$41,0)),0)</f>
        <v>0</v>
      </c>
      <c r="I41" s="19">
        <f t="shared" si="3"/>
        <v>0</v>
      </c>
      <c r="J41" s="48"/>
      <c r="K41" s="48"/>
      <c r="L41" s="48"/>
      <c r="M41" s="48"/>
      <c r="N41" s="48"/>
    </row>
    <row r="42" spans="1:14" x14ac:dyDescent="0.3">
      <c r="A42" s="16" t="str">
        <f t="shared" si="2"/>
        <v/>
      </c>
      <c r="B42" s="47"/>
      <c r="C42" s="48"/>
      <c r="D42" s="48"/>
      <c r="E42" s="48"/>
      <c r="F42" s="48"/>
      <c r="G42" s="24"/>
      <c r="H42" s="25">
        <f>IFERROR(INDEX('Item Master'!$E$4:$E$41,MATCH(C42,'Item Master'!$A$4:$A$41,0)),0)</f>
        <v>0</v>
      </c>
      <c r="I42" s="19">
        <f t="shared" si="3"/>
        <v>0</v>
      </c>
      <c r="J42" s="48"/>
      <c r="K42" s="48"/>
      <c r="L42" s="48"/>
      <c r="M42" s="48"/>
      <c r="N42" s="48"/>
    </row>
    <row r="43" spans="1:14" x14ac:dyDescent="0.3">
      <c r="A43" s="16" t="str">
        <f t="shared" si="2"/>
        <v/>
      </c>
      <c r="B43" s="47"/>
      <c r="C43" s="48"/>
      <c r="D43" s="48"/>
      <c r="E43" s="48"/>
      <c r="F43" s="48"/>
      <c r="G43" s="24"/>
      <c r="H43" s="25">
        <f>IFERROR(INDEX('Item Master'!$E$4:$E$41,MATCH(C43,'Item Master'!$A$4:$A$41,0)),0)</f>
        <v>0</v>
      </c>
      <c r="I43" s="19">
        <f t="shared" si="3"/>
        <v>0</v>
      </c>
      <c r="J43" s="48"/>
      <c r="K43" s="48"/>
      <c r="L43" s="48"/>
      <c r="M43" s="48"/>
      <c r="N43" s="48"/>
    </row>
    <row r="44" spans="1:14" x14ac:dyDescent="0.3">
      <c r="A44" s="16" t="str">
        <f t="shared" si="2"/>
        <v/>
      </c>
      <c r="B44" s="47"/>
      <c r="C44" s="48"/>
      <c r="D44" s="48"/>
      <c r="E44" s="48"/>
      <c r="F44" s="48"/>
      <c r="G44" s="24"/>
      <c r="H44" s="25">
        <f>IFERROR(INDEX('Item Master'!$E$4:$E$41,MATCH(C44,'Item Master'!$A$4:$A$41,0)),0)</f>
        <v>0</v>
      </c>
      <c r="I44" s="19">
        <f t="shared" si="3"/>
        <v>0</v>
      </c>
      <c r="J44" s="48"/>
      <c r="K44" s="48"/>
      <c r="L44" s="48"/>
      <c r="M44" s="48"/>
      <c r="N44" s="48"/>
    </row>
    <row r="45" spans="1:14" x14ac:dyDescent="0.3">
      <c r="A45" s="16" t="str">
        <f t="shared" si="2"/>
        <v/>
      </c>
      <c r="B45" s="47"/>
      <c r="C45" s="48"/>
      <c r="D45" s="48"/>
      <c r="E45" s="48"/>
      <c r="F45" s="48"/>
      <c r="G45" s="24"/>
      <c r="H45" s="25">
        <f>IFERROR(INDEX('Item Master'!$E$4:$E$41,MATCH(C45,'Item Master'!$A$4:$A$41,0)),0)</f>
        <v>0</v>
      </c>
      <c r="I45" s="19">
        <f t="shared" si="3"/>
        <v>0</v>
      </c>
      <c r="J45" s="48"/>
      <c r="K45" s="48"/>
      <c r="L45" s="48"/>
      <c r="M45" s="48"/>
      <c r="N45" s="48"/>
    </row>
    <row r="46" spans="1:14" x14ac:dyDescent="0.3">
      <c r="A46" s="16" t="str">
        <f t="shared" si="2"/>
        <v/>
      </c>
      <c r="B46" s="47"/>
      <c r="C46" s="48"/>
      <c r="D46" s="48"/>
      <c r="E46" s="48"/>
      <c r="F46" s="48"/>
      <c r="G46" s="24"/>
      <c r="H46" s="25">
        <f>IFERROR(INDEX('Item Master'!$E$4:$E$41,MATCH(C46,'Item Master'!$A$4:$A$41,0)),0)</f>
        <v>0</v>
      </c>
      <c r="I46" s="19">
        <f t="shared" si="3"/>
        <v>0</v>
      </c>
      <c r="J46" s="48"/>
      <c r="K46" s="48"/>
      <c r="L46" s="48"/>
      <c r="M46" s="48"/>
      <c r="N46" s="48"/>
    </row>
    <row r="47" spans="1:14" x14ac:dyDescent="0.3">
      <c r="A47" s="16" t="str">
        <f t="shared" si="2"/>
        <v/>
      </c>
      <c r="B47" s="47"/>
      <c r="C47" s="48"/>
      <c r="D47" s="48"/>
      <c r="E47" s="48"/>
      <c r="F47" s="48"/>
      <c r="G47" s="24"/>
      <c r="H47" s="25">
        <f>IFERROR(INDEX('Item Master'!$E$4:$E$41,MATCH(C47,'Item Master'!$A$4:$A$41,0)),0)</f>
        <v>0</v>
      </c>
      <c r="I47" s="19">
        <f t="shared" si="3"/>
        <v>0</v>
      </c>
      <c r="J47" s="48"/>
      <c r="K47" s="48"/>
      <c r="L47" s="48"/>
      <c r="M47" s="48"/>
      <c r="N47" s="48"/>
    </row>
    <row r="48" spans="1:14" x14ac:dyDescent="0.3">
      <c r="A48" s="16" t="str">
        <f t="shared" si="2"/>
        <v/>
      </c>
      <c r="B48" s="47"/>
      <c r="C48" s="48"/>
      <c r="D48" s="48"/>
      <c r="E48" s="48"/>
      <c r="F48" s="48"/>
      <c r="G48" s="24"/>
      <c r="H48" s="25">
        <f>IFERROR(INDEX('Item Master'!$E$4:$E$41,MATCH(C48,'Item Master'!$A$4:$A$41,0)),0)</f>
        <v>0</v>
      </c>
      <c r="I48" s="19">
        <f t="shared" si="3"/>
        <v>0</v>
      </c>
      <c r="J48" s="48"/>
      <c r="K48" s="48"/>
      <c r="L48" s="48"/>
      <c r="M48" s="48"/>
      <c r="N48" s="48"/>
    </row>
    <row r="49" spans="1:14" x14ac:dyDescent="0.3">
      <c r="A49" s="16" t="str">
        <f t="shared" si="2"/>
        <v/>
      </c>
      <c r="B49" s="47"/>
      <c r="C49" s="48"/>
      <c r="D49" s="48"/>
      <c r="E49" s="48"/>
      <c r="F49" s="48"/>
      <c r="G49" s="24"/>
      <c r="H49" s="25">
        <f>IFERROR(INDEX('Item Master'!$E$4:$E$41,MATCH(C49,'Item Master'!$A$4:$A$41,0)),0)</f>
        <v>0</v>
      </c>
      <c r="I49" s="19">
        <f t="shared" si="3"/>
        <v>0</v>
      </c>
      <c r="J49" s="48"/>
      <c r="K49" s="48"/>
      <c r="L49" s="48"/>
      <c r="M49" s="48"/>
      <c r="N49" s="48"/>
    </row>
    <row r="50" spans="1:14" x14ac:dyDescent="0.3">
      <c r="A50" s="16" t="str">
        <f t="shared" si="2"/>
        <v/>
      </c>
      <c r="B50" s="47"/>
      <c r="C50" s="48"/>
      <c r="D50" s="48"/>
      <c r="E50" s="48"/>
      <c r="F50" s="48"/>
      <c r="G50" s="24"/>
      <c r="H50" s="25">
        <f>IFERROR(INDEX('Item Master'!$E$4:$E$41,MATCH(C50,'Item Master'!$A$4:$A$41,0)),0)</f>
        <v>0</v>
      </c>
      <c r="I50" s="19">
        <f t="shared" si="3"/>
        <v>0</v>
      </c>
      <c r="J50" s="48"/>
      <c r="K50" s="48"/>
      <c r="L50" s="48"/>
      <c r="M50" s="48"/>
      <c r="N50" s="48"/>
    </row>
    <row r="51" spans="1:14" x14ac:dyDescent="0.3">
      <c r="A51" s="16" t="str">
        <f t="shared" si="2"/>
        <v/>
      </c>
      <c r="B51" s="47"/>
      <c r="C51" s="48"/>
      <c r="D51" s="48"/>
      <c r="E51" s="48"/>
      <c r="F51" s="48"/>
      <c r="G51" s="24"/>
      <c r="H51" s="25">
        <f>IFERROR(INDEX('Item Master'!$E$4:$E$41,MATCH(C51,'Item Master'!$A$4:$A$41,0)),0)</f>
        <v>0</v>
      </c>
      <c r="I51" s="19">
        <f t="shared" si="3"/>
        <v>0</v>
      </c>
      <c r="J51" s="48"/>
      <c r="K51" s="48"/>
      <c r="L51" s="48"/>
      <c r="M51" s="48"/>
      <c r="N51" s="48"/>
    </row>
    <row r="52" spans="1:14" x14ac:dyDescent="0.3">
      <c r="A52" s="16" t="str">
        <f t="shared" si="2"/>
        <v/>
      </c>
      <c r="B52" s="47"/>
      <c r="C52" s="48"/>
      <c r="D52" s="48"/>
      <c r="E52" s="48"/>
      <c r="F52" s="48"/>
      <c r="G52" s="24"/>
      <c r="H52" s="25">
        <f>IFERROR(INDEX('Item Master'!$E$4:$E$41,MATCH(C52,'Item Master'!$A$4:$A$41,0)),0)</f>
        <v>0</v>
      </c>
      <c r="I52" s="19">
        <f t="shared" si="3"/>
        <v>0</v>
      </c>
      <c r="J52" s="48"/>
      <c r="K52" s="48"/>
      <c r="L52" s="48"/>
      <c r="M52" s="48"/>
      <c r="N52" s="48"/>
    </row>
    <row r="53" spans="1:14" x14ac:dyDescent="0.3">
      <c r="A53" s="16" t="str">
        <f t="shared" si="2"/>
        <v/>
      </c>
      <c r="B53" s="47"/>
      <c r="C53" s="48"/>
      <c r="D53" s="48"/>
      <c r="E53" s="48"/>
      <c r="F53" s="48"/>
      <c r="G53" s="24"/>
      <c r="H53" s="25">
        <f>IFERROR(INDEX('Item Master'!$E$4:$E$41,MATCH(C53,'Item Master'!$A$4:$A$41,0)),0)</f>
        <v>0</v>
      </c>
      <c r="I53" s="19">
        <f t="shared" si="3"/>
        <v>0</v>
      </c>
      <c r="J53" s="48"/>
      <c r="K53" s="48"/>
      <c r="L53" s="48"/>
      <c r="M53" s="48"/>
      <c r="N53" s="48"/>
    </row>
    <row r="54" spans="1:14" x14ac:dyDescent="0.3">
      <c r="A54" s="16" t="str">
        <f t="shared" si="2"/>
        <v/>
      </c>
      <c r="B54" s="47"/>
      <c r="C54" s="48"/>
      <c r="D54" s="48"/>
      <c r="E54" s="48"/>
      <c r="F54" s="48"/>
      <c r="G54" s="24"/>
      <c r="H54" s="25">
        <f>IFERROR(INDEX('Item Master'!$E$4:$E$41,MATCH(C54,'Item Master'!$A$4:$A$41,0)),0)</f>
        <v>0</v>
      </c>
      <c r="I54" s="19">
        <f t="shared" si="3"/>
        <v>0</v>
      </c>
      <c r="J54" s="48"/>
      <c r="K54" s="48"/>
      <c r="L54" s="48"/>
      <c r="M54" s="48"/>
      <c r="N54" s="48"/>
    </row>
    <row r="55" spans="1:14" x14ac:dyDescent="0.3">
      <c r="A55" s="16" t="str">
        <f t="shared" si="2"/>
        <v/>
      </c>
      <c r="B55" s="47"/>
      <c r="C55" s="48"/>
      <c r="D55" s="48"/>
      <c r="E55" s="48"/>
      <c r="F55" s="48"/>
      <c r="G55" s="24"/>
      <c r="H55" s="25">
        <f>IFERROR(INDEX('Item Master'!$E$4:$E$41,MATCH(C55,'Item Master'!$A$4:$A$41,0)),0)</f>
        <v>0</v>
      </c>
      <c r="I55" s="19">
        <f t="shared" si="3"/>
        <v>0</v>
      </c>
      <c r="J55" s="48"/>
      <c r="K55" s="48"/>
      <c r="L55" s="48"/>
      <c r="M55" s="48"/>
      <c r="N55" s="48"/>
    </row>
    <row r="56" spans="1:14" x14ac:dyDescent="0.3">
      <c r="A56" s="16" t="str">
        <f t="shared" si="2"/>
        <v/>
      </c>
      <c r="B56" s="47"/>
      <c r="C56" s="48"/>
      <c r="D56" s="48"/>
      <c r="E56" s="48"/>
      <c r="F56" s="48"/>
      <c r="G56" s="24"/>
      <c r="H56" s="25">
        <f>IFERROR(INDEX('Item Master'!$E$4:$E$41,MATCH(C56,'Item Master'!$A$4:$A$41,0)),0)</f>
        <v>0</v>
      </c>
      <c r="I56" s="19">
        <f t="shared" si="3"/>
        <v>0</v>
      </c>
      <c r="J56" s="48"/>
      <c r="K56" s="48"/>
      <c r="L56" s="48"/>
      <c r="M56" s="48"/>
      <c r="N56" s="48"/>
    </row>
    <row r="57" spans="1:14" x14ac:dyDescent="0.3">
      <c r="A57" s="16" t="str">
        <f t="shared" si="2"/>
        <v/>
      </c>
      <c r="B57" s="47"/>
      <c r="C57" s="48"/>
      <c r="D57" s="48"/>
      <c r="E57" s="48"/>
      <c r="F57" s="48"/>
      <c r="G57" s="24"/>
      <c r="H57" s="25">
        <f>IFERROR(INDEX('Item Master'!$E$4:$E$41,MATCH(C57,'Item Master'!$A$4:$A$41,0)),0)</f>
        <v>0</v>
      </c>
      <c r="I57" s="19">
        <f t="shared" si="3"/>
        <v>0</v>
      </c>
      <c r="J57" s="48"/>
      <c r="K57" s="48"/>
      <c r="L57" s="48"/>
      <c r="M57" s="48"/>
      <c r="N57" s="48"/>
    </row>
    <row r="58" spans="1:14" x14ac:dyDescent="0.3">
      <c r="A58" s="16" t="str">
        <f t="shared" si="2"/>
        <v/>
      </c>
      <c r="B58" s="47"/>
      <c r="C58" s="48"/>
      <c r="D58" s="48"/>
      <c r="E58" s="48"/>
      <c r="F58" s="48"/>
      <c r="G58" s="24"/>
      <c r="H58" s="25">
        <f>IFERROR(INDEX('Item Master'!$E$4:$E$41,MATCH(C58,'Item Master'!$A$4:$A$41,0)),0)</f>
        <v>0</v>
      </c>
      <c r="I58" s="19">
        <f t="shared" si="3"/>
        <v>0</v>
      </c>
      <c r="J58" s="48"/>
      <c r="K58" s="48"/>
      <c r="L58" s="48"/>
      <c r="M58" s="48"/>
      <c r="N58" s="48"/>
    </row>
    <row r="59" spans="1:14" x14ac:dyDescent="0.3">
      <c r="A59" s="16" t="str">
        <f t="shared" si="2"/>
        <v/>
      </c>
      <c r="B59" s="47"/>
      <c r="C59" s="48"/>
      <c r="D59" s="48"/>
      <c r="E59" s="48"/>
      <c r="F59" s="48"/>
      <c r="G59" s="24"/>
      <c r="H59" s="25">
        <f>IFERROR(INDEX('Item Master'!$E$4:$E$41,MATCH(C59,'Item Master'!$A$4:$A$41,0)),0)</f>
        <v>0</v>
      </c>
      <c r="I59" s="19">
        <f t="shared" si="3"/>
        <v>0</v>
      </c>
      <c r="J59" s="48"/>
      <c r="K59" s="48"/>
      <c r="L59" s="48"/>
      <c r="M59" s="48"/>
      <c r="N59" s="48"/>
    </row>
    <row r="60" spans="1:14" x14ac:dyDescent="0.3">
      <c r="A60" s="16" t="str">
        <f t="shared" si="2"/>
        <v/>
      </c>
      <c r="B60" s="47"/>
      <c r="C60" s="48"/>
      <c r="D60" s="48"/>
      <c r="E60" s="48"/>
      <c r="F60" s="48"/>
      <c r="G60" s="24"/>
      <c r="H60" s="25">
        <f>IFERROR(INDEX('Item Master'!$E$4:$E$41,MATCH(C60,'Item Master'!$A$4:$A$41,0)),0)</f>
        <v>0</v>
      </c>
      <c r="I60" s="19">
        <f t="shared" si="3"/>
        <v>0</v>
      </c>
      <c r="J60" s="48"/>
      <c r="K60" s="48"/>
      <c r="L60" s="48"/>
      <c r="M60" s="48"/>
      <c r="N60" s="48"/>
    </row>
    <row r="61" spans="1:14" x14ac:dyDescent="0.3">
      <c r="A61" s="16" t="str">
        <f t="shared" si="2"/>
        <v/>
      </c>
      <c r="B61" s="47"/>
      <c r="C61" s="48"/>
      <c r="D61" s="48"/>
      <c r="E61" s="48"/>
      <c r="F61" s="48"/>
      <c r="G61" s="24"/>
      <c r="H61" s="25">
        <f>IFERROR(INDEX('Item Master'!$E$4:$E$41,MATCH(C61,'Item Master'!$A$4:$A$41,0)),0)</f>
        <v>0</v>
      </c>
      <c r="I61" s="19">
        <f t="shared" si="3"/>
        <v>0</v>
      </c>
      <c r="J61" s="48"/>
      <c r="K61" s="48"/>
      <c r="L61" s="48"/>
      <c r="M61" s="48"/>
      <c r="N61" s="48"/>
    </row>
    <row r="62" spans="1:14" x14ac:dyDescent="0.3">
      <c r="A62" s="16" t="str">
        <f t="shared" si="2"/>
        <v/>
      </c>
      <c r="B62" s="47"/>
      <c r="C62" s="48"/>
      <c r="D62" s="48"/>
      <c r="E62" s="48"/>
      <c r="F62" s="48"/>
      <c r="G62" s="24"/>
      <c r="H62" s="25">
        <f>IFERROR(INDEX('Item Master'!$E$4:$E$41,MATCH(C62,'Item Master'!$A$4:$A$41,0)),0)</f>
        <v>0</v>
      </c>
      <c r="I62" s="19">
        <f t="shared" si="3"/>
        <v>0</v>
      </c>
      <c r="J62" s="48"/>
      <c r="K62" s="48"/>
      <c r="L62" s="48"/>
      <c r="M62" s="48"/>
      <c r="N62" s="48"/>
    </row>
    <row r="63" spans="1:14" x14ac:dyDescent="0.3">
      <c r="A63" s="16" t="str">
        <f t="shared" si="2"/>
        <v/>
      </c>
      <c r="B63" s="47"/>
      <c r="C63" s="48"/>
      <c r="D63" s="48"/>
      <c r="E63" s="48"/>
      <c r="F63" s="48"/>
      <c r="G63" s="24"/>
      <c r="H63" s="25">
        <f>IFERROR(INDEX('Item Master'!$E$4:$E$41,MATCH(C63,'Item Master'!$A$4:$A$41,0)),0)</f>
        <v>0</v>
      </c>
      <c r="I63" s="19">
        <f t="shared" si="3"/>
        <v>0</v>
      </c>
      <c r="J63" s="48"/>
      <c r="K63" s="48"/>
      <c r="L63" s="48"/>
      <c r="M63" s="48"/>
      <c r="N63" s="48"/>
    </row>
    <row r="64" spans="1:14" x14ac:dyDescent="0.3">
      <c r="A64" s="16" t="str">
        <f t="shared" si="2"/>
        <v/>
      </c>
      <c r="B64" s="47"/>
      <c r="C64" s="48"/>
      <c r="D64" s="48"/>
      <c r="E64" s="48"/>
      <c r="F64" s="48"/>
      <c r="G64" s="24"/>
      <c r="H64" s="25">
        <f>IFERROR(INDEX('Item Master'!$E$4:$E$41,MATCH(C64,'Item Master'!$A$4:$A$41,0)),0)</f>
        <v>0</v>
      </c>
      <c r="I64" s="19">
        <f t="shared" si="3"/>
        <v>0</v>
      </c>
      <c r="J64" s="48"/>
      <c r="K64" s="48"/>
      <c r="L64" s="48"/>
      <c r="M64" s="48"/>
      <c r="N64" s="48"/>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00020"/>
  </sheetPr>
  <dimension ref="A1:O44"/>
  <sheetViews>
    <sheetView showGridLines="0" zoomScaleNormal="100" workbookViewId="0">
      <pane ySplit="4" topLeftCell="A5" activePane="bottomLeft" state="frozen"/>
      <selection pane="bottomLeft" activeCell="E7" sqref="E7"/>
    </sheetView>
  </sheetViews>
  <sheetFormatPr defaultColWidth="8.6640625" defaultRowHeight="14.4" x14ac:dyDescent="0.3"/>
  <cols>
    <col min="1" max="1" width="9" customWidth="1"/>
    <col min="2" max="2" width="11" customWidth="1"/>
    <col min="3" max="3" width="8" customWidth="1"/>
    <col min="4" max="4" width="11" customWidth="1"/>
    <col min="5" max="5" width="10" customWidth="1"/>
    <col min="6" max="6" width="24" customWidth="1"/>
    <col min="7" max="7" width="10" customWidth="1"/>
    <col min="8" max="8" width="6" customWidth="1"/>
    <col min="9" max="10" width="11" customWidth="1"/>
    <col min="11" max="11" width="10" customWidth="1"/>
    <col min="12" max="12" width="18" customWidth="1"/>
    <col min="13" max="13" width="12" customWidth="1"/>
    <col min="14" max="14" width="14" customWidth="1"/>
    <col min="15" max="15" width="16" customWidth="1"/>
  </cols>
  <sheetData>
    <row r="1" spans="1:15" ht="25.5" customHeight="1" x14ac:dyDescent="0.3">
      <c r="A1" s="14" t="s">
        <v>580</v>
      </c>
      <c r="B1" s="14"/>
      <c r="C1" s="14"/>
      <c r="D1" s="14"/>
      <c r="E1" s="14"/>
      <c r="F1" s="14"/>
      <c r="G1" s="14"/>
      <c r="H1" s="14"/>
      <c r="I1" s="14"/>
      <c r="J1" s="14"/>
    </row>
    <row r="2" spans="1:15" x14ac:dyDescent="0.3">
      <c r="A2" s="13" t="s">
        <v>581</v>
      </c>
      <c r="B2" s="13"/>
      <c r="C2" s="13"/>
      <c r="D2" s="13"/>
      <c r="E2" s="13"/>
      <c r="F2" s="13"/>
      <c r="G2" s="13"/>
      <c r="H2" s="13"/>
      <c r="I2" s="13"/>
      <c r="J2" s="13"/>
    </row>
    <row r="4" spans="1:15" ht="30" customHeight="1" x14ac:dyDescent="0.3">
      <c r="A4" s="15" t="s">
        <v>582</v>
      </c>
      <c r="B4" s="15" t="s">
        <v>558</v>
      </c>
      <c r="C4" s="15" t="s">
        <v>583</v>
      </c>
      <c r="D4" s="15" t="s">
        <v>584</v>
      </c>
      <c r="E4" s="15" t="s">
        <v>585</v>
      </c>
      <c r="F4" s="15" t="s">
        <v>41</v>
      </c>
      <c r="G4" s="15" t="s">
        <v>30</v>
      </c>
      <c r="H4" s="15" t="s">
        <v>586</v>
      </c>
      <c r="I4" s="15" t="s">
        <v>587</v>
      </c>
      <c r="J4" s="15" t="s">
        <v>588</v>
      </c>
      <c r="K4" s="15" t="s">
        <v>589</v>
      </c>
      <c r="L4" s="15" t="s">
        <v>590</v>
      </c>
      <c r="M4" s="15" t="s">
        <v>591</v>
      </c>
      <c r="N4" s="15" t="s">
        <v>592</v>
      </c>
      <c r="O4" s="15" t="s">
        <v>593</v>
      </c>
    </row>
    <row r="5" spans="1:15" x14ac:dyDescent="0.3">
      <c r="A5" s="16" t="str">
        <f t="shared" ref="A5:A44" si="0">IF(E5="","","VD-"&amp;TEXT(ROW()-4,"000"))</f>
        <v>VD-001</v>
      </c>
      <c r="B5" s="47">
        <v>46205</v>
      </c>
      <c r="C5" s="48" t="s">
        <v>594</v>
      </c>
      <c r="D5" s="48" t="s">
        <v>595</v>
      </c>
      <c r="E5" s="48" t="s">
        <v>206</v>
      </c>
      <c r="F5" s="49" t="str">
        <f>IFERROR(INDEX('Menu Master'!$B$4:$B$60,MATCH(E5,'Menu Master'!$A$4:$A$60,0)),"")</f>
        <v>Chicken Caesar Wrap</v>
      </c>
      <c r="G5" s="49" t="str">
        <f>IFERROR(INDEX('Menu Master'!$C$4:$C$60,MATCH(E5,'Menu Master'!$A$4:$A$60,0)),"")</f>
        <v>Food</v>
      </c>
      <c r="H5" s="24">
        <v>1</v>
      </c>
      <c r="I5" s="25">
        <f>IFERROR(INDEX('Daily Sales'!$D$5:$D$30,MATCH(E5,'Daily Sales'!$A$5:$A$30,0)),0)</f>
        <v>280</v>
      </c>
      <c r="J5" s="19">
        <f t="shared" ref="J5:J44" si="1">H5*I5</f>
        <v>280</v>
      </c>
      <c r="K5" s="19">
        <f>H5*IFERROR(INDEX('Daily Sales'!$E$5:$E$30,MATCH(E5,'Daily Sales'!$A$5:$A$30,0)),0)</f>
        <v>107.39999999999999</v>
      </c>
      <c r="L5" s="48" t="s">
        <v>596</v>
      </c>
      <c r="M5" s="48" t="s">
        <v>597</v>
      </c>
      <c r="N5" s="48" t="s">
        <v>572</v>
      </c>
      <c r="O5" s="48"/>
    </row>
    <row r="6" spans="1:15" x14ac:dyDescent="0.3">
      <c r="A6" s="16" t="str">
        <f t="shared" si="0"/>
        <v>VD-002</v>
      </c>
      <c r="B6" s="47">
        <v>46207</v>
      </c>
      <c r="C6" s="48" t="s">
        <v>598</v>
      </c>
      <c r="D6" s="48" t="s">
        <v>599</v>
      </c>
      <c r="E6" s="48" t="s">
        <v>259</v>
      </c>
      <c r="F6" s="49" t="str">
        <f>IFERROR(INDEX('Menu Master'!$B$4:$B$60,MATCH(E6,'Menu Master'!$A$4:$A$60,0)),"")</f>
        <v>Classic Mojito</v>
      </c>
      <c r="G6" s="49" t="str">
        <f>IFERROR(INDEX('Menu Master'!$C$4:$C$60,MATCH(E6,'Menu Master'!$A$4:$A$60,0)),"")</f>
        <v>Beverage</v>
      </c>
      <c r="H6" s="24">
        <v>2</v>
      </c>
      <c r="I6" s="25">
        <f>IFERROR(INDEX('Daily Sales'!$D$5:$D$30,MATCH(E6,'Daily Sales'!$A$5:$A$30,0)),0)</f>
        <v>220</v>
      </c>
      <c r="J6" s="19">
        <f t="shared" si="1"/>
        <v>440</v>
      </c>
      <c r="K6" s="19">
        <f>H6*IFERROR(INDEX('Daily Sales'!$E$5:$E$30,MATCH(E6,'Daily Sales'!$A$5:$A$30,0)),0)</f>
        <v>108.5</v>
      </c>
      <c r="L6" s="48" t="s">
        <v>600</v>
      </c>
      <c r="M6" s="48" t="s">
        <v>597</v>
      </c>
      <c r="N6" s="48" t="s">
        <v>572</v>
      </c>
      <c r="O6" s="48"/>
    </row>
    <row r="7" spans="1:15" x14ac:dyDescent="0.3">
      <c r="A7" s="16" t="str">
        <f t="shared" si="0"/>
        <v/>
      </c>
      <c r="B7" s="47"/>
      <c r="C7" s="48"/>
      <c r="D7" s="48"/>
      <c r="E7" s="48"/>
      <c r="F7" s="49" t="str">
        <f>IFERROR(INDEX('Menu Master'!$B$4:$B$60,MATCH(E7,'Menu Master'!$A$4:$A$60,0)),"")</f>
        <v/>
      </c>
      <c r="G7" s="49" t="str">
        <f>IFERROR(INDEX('Menu Master'!$C$4:$C$60,MATCH(E7,'Menu Master'!$A$4:$A$60,0)),"")</f>
        <v/>
      </c>
      <c r="H7" s="24"/>
      <c r="I7" s="25">
        <f>IFERROR(INDEX('Daily Sales'!$D$5:$D$30,MATCH(E7,'Daily Sales'!$A$5:$A$30,0)),0)</f>
        <v>0</v>
      </c>
      <c r="J7" s="19">
        <f t="shared" si="1"/>
        <v>0</v>
      </c>
      <c r="K7" s="19">
        <f>H7*IFERROR(INDEX('Daily Sales'!$E$5:$E$30,MATCH(E7,'Daily Sales'!$A$5:$A$30,0)),0)</f>
        <v>0</v>
      </c>
      <c r="L7" s="48"/>
      <c r="M7" s="48"/>
      <c r="N7" s="48"/>
      <c r="O7" s="48"/>
    </row>
    <row r="8" spans="1:15" x14ac:dyDescent="0.3">
      <c r="A8" s="16" t="str">
        <f t="shared" si="0"/>
        <v/>
      </c>
      <c r="B8" s="47"/>
      <c r="C8" s="48"/>
      <c r="D8" s="48"/>
      <c r="E8" s="48"/>
      <c r="F8" s="49" t="str">
        <f>IFERROR(INDEX('Menu Master'!$B$4:$B$60,MATCH(E8,'Menu Master'!$A$4:$A$60,0)),"")</f>
        <v/>
      </c>
      <c r="G8" s="49" t="str">
        <f>IFERROR(INDEX('Menu Master'!$C$4:$C$60,MATCH(E8,'Menu Master'!$A$4:$A$60,0)),"")</f>
        <v/>
      </c>
      <c r="H8" s="24"/>
      <c r="I8" s="25">
        <f>IFERROR(INDEX('Daily Sales'!$D$5:$D$30,MATCH(E8,'Daily Sales'!$A$5:$A$30,0)),0)</f>
        <v>0</v>
      </c>
      <c r="J8" s="19">
        <f t="shared" si="1"/>
        <v>0</v>
      </c>
      <c r="K8" s="19">
        <f>H8*IFERROR(INDEX('Daily Sales'!$E$5:$E$30,MATCH(E8,'Daily Sales'!$A$5:$A$30,0)),0)</f>
        <v>0</v>
      </c>
      <c r="L8" s="48"/>
      <c r="M8" s="48"/>
      <c r="N8" s="48"/>
      <c r="O8" s="48"/>
    </row>
    <row r="9" spans="1:15" x14ac:dyDescent="0.3">
      <c r="A9" s="16" t="str">
        <f t="shared" si="0"/>
        <v/>
      </c>
      <c r="B9" s="47"/>
      <c r="C9" s="48"/>
      <c r="D9" s="48"/>
      <c r="E9" s="48"/>
      <c r="F9" s="49" t="str">
        <f>IFERROR(INDEX('Menu Master'!$B$4:$B$60,MATCH(E9,'Menu Master'!$A$4:$A$60,0)),"")</f>
        <v/>
      </c>
      <c r="G9" s="49" t="str">
        <f>IFERROR(INDEX('Menu Master'!$C$4:$C$60,MATCH(E9,'Menu Master'!$A$4:$A$60,0)),"")</f>
        <v/>
      </c>
      <c r="H9" s="24"/>
      <c r="I9" s="25">
        <f>IFERROR(INDEX('Daily Sales'!$D$5:$D$30,MATCH(E9,'Daily Sales'!$A$5:$A$30,0)),0)</f>
        <v>0</v>
      </c>
      <c r="J9" s="19">
        <f t="shared" si="1"/>
        <v>0</v>
      </c>
      <c r="K9" s="19">
        <f>H9*IFERROR(INDEX('Daily Sales'!$E$5:$E$30,MATCH(E9,'Daily Sales'!$A$5:$A$30,0)),0)</f>
        <v>0</v>
      </c>
      <c r="L9" s="48"/>
      <c r="M9" s="48"/>
      <c r="N9" s="48"/>
      <c r="O9" s="48"/>
    </row>
    <row r="10" spans="1:15" x14ac:dyDescent="0.3">
      <c r="A10" s="16" t="str">
        <f t="shared" si="0"/>
        <v/>
      </c>
      <c r="B10" s="47"/>
      <c r="C10" s="48"/>
      <c r="D10" s="48"/>
      <c r="E10" s="48"/>
      <c r="F10" s="49" t="str">
        <f>IFERROR(INDEX('Menu Master'!$B$4:$B$60,MATCH(E10,'Menu Master'!$A$4:$A$60,0)),"")</f>
        <v/>
      </c>
      <c r="G10" s="49" t="str">
        <f>IFERROR(INDEX('Menu Master'!$C$4:$C$60,MATCH(E10,'Menu Master'!$A$4:$A$60,0)),"")</f>
        <v/>
      </c>
      <c r="H10" s="24"/>
      <c r="I10" s="25">
        <f>IFERROR(INDEX('Daily Sales'!$D$5:$D$30,MATCH(E10,'Daily Sales'!$A$5:$A$30,0)),0)</f>
        <v>0</v>
      </c>
      <c r="J10" s="19">
        <f t="shared" si="1"/>
        <v>0</v>
      </c>
      <c r="K10" s="19">
        <f>H10*IFERROR(INDEX('Daily Sales'!$E$5:$E$30,MATCH(E10,'Daily Sales'!$A$5:$A$30,0)),0)</f>
        <v>0</v>
      </c>
      <c r="L10" s="48"/>
      <c r="M10" s="48"/>
      <c r="N10" s="48"/>
      <c r="O10" s="48"/>
    </row>
    <row r="11" spans="1:15" x14ac:dyDescent="0.3">
      <c r="A11" s="16" t="str">
        <f t="shared" si="0"/>
        <v/>
      </c>
      <c r="B11" s="47"/>
      <c r="C11" s="48"/>
      <c r="D11" s="48"/>
      <c r="E11" s="48"/>
      <c r="F11" s="49" t="str">
        <f>IFERROR(INDEX('Menu Master'!$B$4:$B$60,MATCH(E11,'Menu Master'!$A$4:$A$60,0)),"")</f>
        <v/>
      </c>
      <c r="G11" s="49" t="str">
        <f>IFERROR(INDEX('Menu Master'!$C$4:$C$60,MATCH(E11,'Menu Master'!$A$4:$A$60,0)),"")</f>
        <v/>
      </c>
      <c r="H11" s="24"/>
      <c r="I11" s="25">
        <f>IFERROR(INDEX('Daily Sales'!$D$5:$D$30,MATCH(E11,'Daily Sales'!$A$5:$A$30,0)),0)</f>
        <v>0</v>
      </c>
      <c r="J11" s="19">
        <f t="shared" si="1"/>
        <v>0</v>
      </c>
      <c r="K11" s="19">
        <f>H11*IFERROR(INDEX('Daily Sales'!$E$5:$E$30,MATCH(E11,'Daily Sales'!$A$5:$A$30,0)),0)</f>
        <v>0</v>
      </c>
      <c r="L11" s="48"/>
      <c r="M11" s="48"/>
      <c r="N11" s="48"/>
      <c r="O11" s="48"/>
    </row>
    <row r="12" spans="1:15" x14ac:dyDescent="0.3">
      <c r="A12" s="16" t="str">
        <f t="shared" si="0"/>
        <v/>
      </c>
      <c r="B12" s="47"/>
      <c r="C12" s="48"/>
      <c r="D12" s="48"/>
      <c r="E12" s="48"/>
      <c r="F12" s="49" t="str">
        <f>IFERROR(INDEX('Menu Master'!$B$4:$B$60,MATCH(E12,'Menu Master'!$A$4:$A$60,0)),"")</f>
        <v/>
      </c>
      <c r="G12" s="49" t="str">
        <f>IFERROR(INDEX('Menu Master'!$C$4:$C$60,MATCH(E12,'Menu Master'!$A$4:$A$60,0)),"")</f>
        <v/>
      </c>
      <c r="H12" s="24"/>
      <c r="I12" s="25">
        <f>IFERROR(INDEX('Daily Sales'!$D$5:$D$30,MATCH(E12,'Daily Sales'!$A$5:$A$30,0)),0)</f>
        <v>0</v>
      </c>
      <c r="J12" s="19">
        <f t="shared" si="1"/>
        <v>0</v>
      </c>
      <c r="K12" s="19">
        <f>H12*IFERROR(INDEX('Daily Sales'!$E$5:$E$30,MATCH(E12,'Daily Sales'!$A$5:$A$30,0)),0)</f>
        <v>0</v>
      </c>
      <c r="L12" s="48"/>
      <c r="M12" s="48"/>
      <c r="N12" s="48"/>
      <c r="O12" s="48"/>
    </row>
    <row r="13" spans="1:15" x14ac:dyDescent="0.3">
      <c r="A13" s="16" t="str">
        <f t="shared" si="0"/>
        <v/>
      </c>
      <c r="B13" s="47"/>
      <c r="C13" s="48"/>
      <c r="D13" s="48"/>
      <c r="E13" s="48"/>
      <c r="F13" s="49" t="str">
        <f>IFERROR(INDEX('Menu Master'!$B$4:$B$60,MATCH(E13,'Menu Master'!$A$4:$A$60,0)),"")</f>
        <v/>
      </c>
      <c r="G13" s="49" t="str">
        <f>IFERROR(INDEX('Menu Master'!$C$4:$C$60,MATCH(E13,'Menu Master'!$A$4:$A$60,0)),"")</f>
        <v/>
      </c>
      <c r="H13" s="24"/>
      <c r="I13" s="25">
        <f>IFERROR(INDEX('Daily Sales'!$D$5:$D$30,MATCH(E13,'Daily Sales'!$A$5:$A$30,0)),0)</f>
        <v>0</v>
      </c>
      <c r="J13" s="19">
        <f t="shared" si="1"/>
        <v>0</v>
      </c>
      <c r="K13" s="19">
        <f>H13*IFERROR(INDEX('Daily Sales'!$E$5:$E$30,MATCH(E13,'Daily Sales'!$A$5:$A$30,0)),0)</f>
        <v>0</v>
      </c>
      <c r="L13" s="48"/>
      <c r="M13" s="48"/>
      <c r="N13" s="48"/>
      <c r="O13" s="48"/>
    </row>
    <row r="14" spans="1:15" x14ac:dyDescent="0.3">
      <c r="A14" s="16" t="str">
        <f t="shared" si="0"/>
        <v/>
      </c>
      <c r="B14" s="47"/>
      <c r="C14" s="48"/>
      <c r="D14" s="48"/>
      <c r="E14" s="48"/>
      <c r="F14" s="49" t="str">
        <f>IFERROR(INDEX('Menu Master'!$B$4:$B$60,MATCH(E14,'Menu Master'!$A$4:$A$60,0)),"")</f>
        <v/>
      </c>
      <c r="G14" s="49" t="str">
        <f>IFERROR(INDEX('Menu Master'!$C$4:$C$60,MATCH(E14,'Menu Master'!$A$4:$A$60,0)),"")</f>
        <v/>
      </c>
      <c r="H14" s="24"/>
      <c r="I14" s="25">
        <f>IFERROR(INDEX('Daily Sales'!$D$5:$D$30,MATCH(E14,'Daily Sales'!$A$5:$A$30,0)),0)</f>
        <v>0</v>
      </c>
      <c r="J14" s="19">
        <f t="shared" si="1"/>
        <v>0</v>
      </c>
      <c r="K14" s="19">
        <f>H14*IFERROR(INDEX('Daily Sales'!$E$5:$E$30,MATCH(E14,'Daily Sales'!$A$5:$A$30,0)),0)</f>
        <v>0</v>
      </c>
      <c r="L14" s="48"/>
      <c r="M14" s="48"/>
      <c r="N14" s="48"/>
      <c r="O14" s="48"/>
    </row>
    <row r="15" spans="1:15" x14ac:dyDescent="0.3">
      <c r="A15" s="16" t="str">
        <f t="shared" si="0"/>
        <v/>
      </c>
      <c r="B15" s="47"/>
      <c r="C15" s="48"/>
      <c r="D15" s="48"/>
      <c r="E15" s="48"/>
      <c r="F15" s="49" t="str">
        <f>IFERROR(INDEX('Menu Master'!$B$4:$B$60,MATCH(E15,'Menu Master'!$A$4:$A$60,0)),"")</f>
        <v/>
      </c>
      <c r="G15" s="49" t="str">
        <f>IFERROR(INDEX('Menu Master'!$C$4:$C$60,MATCH(E15,'Menu Master'!$A$4:$A$60,0)),"")</f>
        <v/>
      </c>
      <c r="H15" s="24"/>
      <c r="I15" s="25">
        <f>IFERROR(INDEX('Daily Sales'!$D$5:$D$30,MATCH(E15,'Daily Sales'!$A$5:$A$30,0)),0)</f>
        <v>0</v>
      </c>
      <c r="J15" s="19">
        <f t="shared" si="1"/>
        <v>0</v>
      </c>
      <c r="K15" s="19">
        <f>H15*IFERROR(INDEX('Daily Sales'!$E$5:$E$30,MATCH(E15,'Daily Sales'!$A$5:$A$30,0)),0)</f>
        <v>0</v>
      </c>
      <c r="L15" s="48"/>
      <c r="M15" s="48"/>
      <c r="N15" s="48"/>
      <c r="O15" s="48"/>
    </row>
    <row r="16" spans="1:15" x14ac:dyDescent="0.3">
      <c r="A16" s="16" t="str">
        <f t="shared" si="0"/>
        <v/>
      </c>
      <c r="B16" s="47"/>
      <c r="C16" s="48"/>
      <c r="D16" s="48"/>
      <c r="E16" s="48"/>
      <c r="F16" s="49" t="str">
        <f>IFERROR(INDEX('Menu Master'!$B$4:$B$60,MATCH(E16,'Menu Master'!$A$4:$A$60,0)),"")</f>
        <v/>
      </c>
      <c r="G16" s="49" t="str">
        <f>IFERROR(INDEX('Menu Master'!$C$4:$C$60,MATCH(E16,'Menu Master'!$A$4:$A$60,0)),"")</f>
        <v/>
      </c>
      <c r="H16" s="24"/>
      <c r="I16" s="25">
        <f>IFERROR(INDEX('Daily Sales'!$D$5:$D$30,MATCH(E16,'Daily Sales'!$A$5:$A$30,0)),0)</f>
        <v>0</v>
      </c>
      <c r="J16" s="19">
        <f t="shared" si="1"/>
        <v>0</v>
      </c>
      <c r="K16" s="19">
        <f>H16*IFERROR(INDEX('Daily Sales'!$E$5:$E$30,MATCH(E16,'Daily Sales'!$A$5:$A$30,0)),0)</f>
        <v>0</v>
      </c>
      <c r="L16" s="48"/>
      <c r="M16" s="48"/>
      <c r="N16" s="48"/>
      <c r="O16" s="48"/>
    </row>
    <row r="17" spans="1:15" x14ac:dyDescent="0.3">
      <c r="A17" s="16" t="str">
        <f t="shared" si="0"/>
        <v/>
      </c>
      <c r="B17" s="47"/>
      <c r="C17" s="48"/>
      <c r="D17" s="48"/>
      <c r="E17" s="48"/>
      <c r="F17" s="49" t="str">
        <f>IFERROR(INDEX('Menu Master'!$B$4:$B$60,MATCH(E17,'Menu Master'!$A$4:$A$60,0)),"")</f>
        <v/>
      </c>
      <c r="G17" s="49" t="str">
        <f>IFERROR(INDEX('Menu Master'!$C$4:$C$60,MATCH(E17,'Menu Master'!$A$4:$A$60,0)),"")</f>
        <v/>
      </c>
      <c r="H17" s="24"/>
      <c r="I17" s="25">
        <f>IFERROR(INDEX('Daily Sales'!$D$5:$D$30,MATCH(E17,'Daily Sales'!$A$5:$A$30,0)),0)</f>
        <v>0</v>
      </c>
      <c r="J17" s="19">
        <f t="shared" si="1"/>
        <v>0</v>
      </c>
      <c r="K17" s="19">
        <f>H17*IFERROR(INDEX('Daily Sales'!$E$5:$E$30,MATCH(E17,'Daily Sales'!$A$5:$A$30,0)),0)</f>
        <v>0</v>
      </c>
      <c r="L17" s="48"/>
      <c r="M17" s="48"/>
      <c r="N17" s="48"/>
      <c r="O17" s="48"/>
    </row>
    <row r="18" spans="1:15" x14ac:dyDescent="0.3">
      <c r="A18" s="16" t="str">
        <f t="shared" si="0"/>
        <v/>
      </c>
      <c r="B18" s="47"/>
      <c r="C18" s="48"/>
      <c r="D18" s="48"/>
      <c r="E18" s="48"/>
      <c r="F18" s="49" t="str">
        <f>IFERROR(INDEX('Menu Master'!$B$4:$B$60,MATCH(E18,'Menu Master'!$A$4:$A$60,0)),"")</f>
        <v/>
      </c>
      <c r="G18" s="49" t="str">
        <f>IFERROR(INDEX('Menu Master'!$C$4:$C$60,MATCH(E18,'Menu Master'!$A$4:$A$60,0)),"")</f>
        <v/>
      </c>
      <c r="H18" s="24"/>
      <c r="I18" s="25">
        <f>IFERROR(INDEX('Daily Sales'!$D$5:$D$30,MATCH(E18,'Daily Sales'!$A$5:$A$30,0)),0)</f>
        <v>0</v>
      </c>
      <c r="J18" s="19">
        <f t="shared" si="1"/>
        <v>0</v>
      </c>
      <c r="K18" s="19">
        <f>H18*IFERROR(INDEX('Daily Sales'!$E$5:$E$30,MATCH(E18,'Daily Sales'!$A$5:$A$30,0)),0)</f>
        <v>0</v>
      </c>
      <c r="L18" s="48"/>
      <c r="M18" s="48"/>
      <c r="N18" s="48"/>
      <c r="O18" s="48"/>
    </row>
    <row r="19" spans="1:15" x14ac:dyDescent="0.3">
      <c r="A19" s="16" t="str">
        <f t="shared" si="0"/>
        <v/>
      </c>
      <c r="B19" s="47"/>
      <c r="C19" s="48"/>
      <c r="D19" s="48"/>
      <c r="E19" s="48"/>
      <c r="F19" s="49" t="str">
        <f>IFERROR(INDEX('Menu Master'!$B$4:$B$60,MATCH(E19,'Menu Master'!$A$4:$A$60,0)),"")</f>
        <v/>
      </c>
      <c r="G19" s="49" t="str">
        <f>IFERROR(INDEX('Menu Master'!$C$4:$C$60,MATCH(E19,'Menu Master'!$A$4:$A$60,0)),"")</f>
        <v/>
      </c>
      <c r="H19" s="24"/>
      <c r="I19" s="25">
        <f>IFERROR(INDEX('Daily Sales'!$D$5:$D$30,MATCH(E19,'Daily Sales'!$A$5:$A$30,0)),0)</f>
        <v>0</v>
      </c>
      <c r="J19" s="19">
        <f t="shared" si="1"/>
        <v>0</v>
      </c>
      <c r="K19" s="19">
        <f>H19*IFERROR(INDEX('Daily Sales'!$E$5:$E$30,MATCH(E19,'Daily Sales'!$A$5:$A$30,0)),0)</f>
        <v>0</v>
      </c>
      <c r="L19" s="48"/>
      <c r="M19" s="48"/>
      <c r="N19" s="48"/>
      <c r="O19" s="48"/>
    </row>
    <row r="20" spans="1:15" x14ac:dyDescent="0.3">
      <c r="A20" s="16" t="str">
        <f t="shared" si="0"/>
        <v/>
      </c>
      <c r="B20" s="47"/>
      <c r="C20" s="48"/>
      <c r="D20" s="48"/>
      <c r="E20" s="48"/>
      <c r="F20" s="49" t="str">
        <f>IFERROR(INDEX('Menu Master'!$B$4:$B$60,MATCH(E20,'Menu Master'!$A$4:$A$60,0)),"")</f>
        <v/>
      </c>
      <c r="G20" s="49" t="str">
        <f>IFERROR(INDEX('Menu Master'!$C$4:$C$60,MATCH(E20,'Menu Master'!$A$4:$A$60,0)),"")</f>
        <v/>
      </c>
      <c r="H20" s="24"/>
      <c r="I20" s="25">
        <f>IFERROR(INDEX('Daily Sales'!$D$5:$D$30,MATCH(E20,'Daily Sales'!$A$5:$A$30,0)),0)</f>
        <v>0</v>
      </c>
      <c r="J20" s="19">
        <f t="shared" si="1"/>
        <v>0</v>
      </c>
      <c r="K20" s="19">
        <f>H20*IFERROR(INDEX('Daily Sales'!$E$5:$E$30,MATCH(E20,'Daily Sales'!$A$5:$A$30,0)),0)</f>
        <v>0</v>
      </c>
      <c r="L20" s="48"/>
      <c r="M20" s="48"/>
      <c r="N20" s="48"/>
      <c r="O20" s="48"/>
    </row>
    <row r="21" spans="1:15" x14ac:dyDescent="0.3">
      <c r="A21" s="16" t="str">
        <f t="shared" si="0"/>
        <v/>
      </c>
      <c r="B21" s="47"/>
      <c r="C21" s="48"/>
      <c r="D21" s="48"/>
      <c r="E21" s="48"/>
      <c r="F21" s="49" t="str">
        <f>IFERROR(INDEX('Menu Master'!$B$4:$B$60,MATCH(E21,'Menu Master'!$A$4:$A$60,0)),"")</f>
        <v/>
      </c>
      <c r="G21" s="49" t="str">
        <f>IFERROR(INDEX('Menu Master'!$C$4:$C$60,MATCH(E21,'Menu Master'!$A$4:$A$60,0)),"")</f>
        <v/>
      </c>
      <c r="H21" s="24"/>
      <c r="I21" s="25">
        <f>IFERROR(INDEX('Daily Sales'!$D$5:$D$30,MATCH(E21,'Daily Sales'!$A$5:$A$30,0)),0)</f>
        <v>0</v>
      </c>
      <c r="J21" s="19">
        <f t="shared" si="1"/>
        <v>0</v>
      </c>
      <c r="K21" s="19">
        <f>H21*IFERROR(INDEX('Daily Sales'!$E$5:$E$30,MATCH(E21,'Daily Sales'!$A$5:$A$30,0)),0)</f>
        <v>0</v>
      </c>
      <c r="L21" s="48"/>
      <c r="M21" s="48"/>
      <c r="N21" s="48"/>
      <c r="O21" s="48"/>
    </row>
    <row r="22" spans="1:15" x14ac:dyDescent="0.3">
      <c r="A22" s="16" t="str">
        <f t="shared" si="0"/>
        <v/>
      </c>
      <c r="B22" s="47"/>
      <c r="C22" s="48"/>
      <c r="D22" s="48"/>
      <c r="E22" s="48"/>
      <c r="F22" s="49" t="str">
        <f>IFERROR(INDEX('Menu Master'!$B$4:$B$60,MATCH(E22,'Menu Master'!$A$4:$A$60,0)),"")</f>
        <v/>
      </c>
      <c r="G22" s="49" t="str">
        <f>IFERROR(INDEX('Menu Master'!$C$4:$C$60,MATCH(E22,'Menu Master'!$A$4:$A$60,0)),"")</f>
        <v/>
      </c>
      <c r="H22" s="24"/>
      <c r="I22" s="25">
        <f>IFERROR(INDEX('Daily Sales'!$D$5:$D$30,MATCH(E22,'Daily Sales'!$A$5:$A$30,0)),0)</f>
        <v>0</v>
      </c>
      <c r="J22" s="19">
        <f t="shared" si="1"/>
        <v>0</v>
      </c>
      <c r="K22" s="19">
        <f>H22*IFERROR(INDEX('Daily Sales'!$E$5:$E$30,MATCH(E22,'Daily Sales'!$A$5:$A$30,0)),0)</f>
        <v>0</v>
      </c>
      <c r="L22" s="48"/>
      <c r="M22" s="48"/>
      <c r="N22" s="48"/>
      <c r="O22" s="48"/>
    </row>
    <row r="23" spans="1:15" x14ac:dyDescent="0.3">
      <c r="A23" s="16" t="str">
        <f t="shared" si="0"/>
        <v/>
      </c>
      <c r="B23" s="47"/>
      <c r="C23" s="48"/>
      <c r="D23" s="48"/>
      <c r="E23" s="48"/>
      <c r="F23" s="49" t="str">
        <f>IFERROR(INDEX('Menu Master'!$B$4:$B$60,MATCH(E23,'Menu Master'!$A$4:$A$60,0)),"")</f>
        <v/>
      </c>
      <c r="G23" s="49" t="str">
        <f>IFERROR(INDEX('Menu Master'!$C$4:$C$60,MATCH(E23,'Menu Master'!$A$4:$A$60,0)),"")</f>
        <v/>
      </c>
      <c r="H23" s="24"/>
      <c r="I23" s="25">
        <f>IFERROR(INDEX('Daily Sales'!$D$5:$D$30,MATCH(E23,'Daily Sales'!$A$5:$A$30,0)),0)</f>
        <v>0</v>
      </c>
      <c r="J23" s="19">
        <f t="shared" si="1"/>
        <v>0</v>
      </c>
      <c r="K23" s="19">
        <f>H23*IFERROR(INDEX('Daily Sales'!$E$5:$E$30,MATCH(E23,'Daily Sales'!$A$5:$A$30,0)),0)</f>
        <v>0</v>
      </c>
      <c r="L23" s="48"/>
      <c r="M23" s="48"/>
      <c r="N23" s="48"/>
      <c r="O23" s="48"/>
    </row>
    <row r="24" spans="1:15" x14ac:dyDescent="0.3">
      <c r="A24" s="16" t="str">
        <f t="shared" si="0"/>
        <v/>
      </c>
      <c r="B24" s="47"/>
      <c r="C24" s="48"/>
      <c r="D24" s="48"/>
      <c r="E24" s="48"/>
      <c r="F24" s="49" t="str">
        <f>IFERROR(INDEX('Menu Master'!$B$4:$B$60,MATCH(E24,'Menu Master'!$A$4:$A$60,0)),"")</f>
        <v/>
      </c>
      <c r="G24" s="49" t="str">
        <f>IFERROR(INDEX('Menu Master'!$C$4:$C$60,MATCH(E24,'Menu Master'!$A$4:$A$60,0)),"")</f>
        <v/>
      </c>
      <c r="H24" s="24"/>
      <c r="I24" s="25">
        <f>IFERROR(INDEX('Daily Sales'!$D$5:$D$30,MATCH(E24,'Daily Sales'!$A$5:$A$30,0)),0)</f>
        <v>0</v>
      </c>
      <c r="J24" s="19">
        <f t="shared" si="1"/>
        <v>0</v>
      </c>
      <c r="K24" s="19">
        <f>H24*IFERROR(INDEX('Daily Sales'!$E$5:$E$30,MATCH(E24,'Daily Sales'!$A$5:$A$30,0)),0)</f>
        <v>0</v>
      </c>
      <c r="L24" s="48"/>
      <c r="M24" s="48"/>
      <c r="N24" s="48"/>
      <c r="O24" s="48"/>
    </row>
    <row r="25" spans="1:15" x14ac:dyDescent="0.3">
      <c r="A25" s="16" t="str">
        <f t="shared" si="0"/>
        <v/>
      </c>
      <c r="B25" s="47"/>
      <c r="C25" s="48"/>
      <c r="D25" s="48"/>
      <c r="E25" s="48"/>
      <c r="F25" s="49" t="str">
        <f>IFERROR(INDEX('Menu Master'!$B$4:$B$60,MATCH(E25,'Menu Master'!$A$4:$A$60,0)),"")</f>
        <v/>
      </c>
      <c r="G25" s="49" t="str">
        <f>IFERROR(INDEX('Menu Master'!$C$4:$C$60,MATCH(E25,'Menu Master'!$A$4:$A$60,0)),"")</f>
        <v/>
      </c>
      <c r="H25" s="24"/>
      <c r="I25" s="25">
        <f>IFERROR(INDEX('Daily Sales'!$D$5:$D$30,MATCH(E25,'Daily Sales'!$A$5:$A$30,0)),0)</f>
        <v>0</v>
      </c>
      <c r="J25" s="19">
        <f t="shared" si="1"/>
        <v>0</v>
      </c>
      <c r="K25" s="19">
        <f>H25*IFERROR(INDEX('Daily Sales'!$E$5:$E$30,MATCH(E25,'Daily Sales'!$A$5:$A$30,0)),0)</f>
        <v>0</v>
      </c>
      <c r="L25" s="48"/>
      <c r="M25" s="48"/>
      <c r="N25" s="48"/>
      <c r="O25" s="48"/>
    </row>
    <row r="26" spans="1:15" x14ac:dyDescent="0.3">
      <c r="A26" s="16" t="str">
        <f t="shared" si="0"/>
        <v/>
      </c>
      <c r="B26" s="47"/>
      <c r="C26" s="48"/>
      <c r="D26" s="48"/>
      <c r="E26" s="48"/>
      <c r="F26" s="49" t="str">
        <f>IFERROR(INDEX('Menu Master'!$B$4:$B$60,MATCH(E26,'Menu Master'!$A$4:$A$60,0)),"")</f>
        <v/>
      </c>
      <c r="G26" s="49" t="str">
        <f>IFERROR(INDEX('Menu Master'!$C$4:$C$60,MATCH(E26,'Menu Master'!$A$4:$A$60,0)),"")</f>
        <v/>
      </c>
      <c r="H26" s="24"/>
      <c r="I26" s="25">
        <f>IFERROR(INDEX('Daily Sales'!$D$5:$D$30,MATCH(E26,'Daily Sales'!$A$5:$A$30,0)),0)</f>
        <v>0</v>
      </c>
      <c r="J26" s="19">
        <f t="shared" si="1"/>
        <v>0</v>
      </c>
      <c r="K26" s="19">
        <f>H26*IFERROR(INDEX('Daily Sales'!$E$5:$E$30,MATCH(E26,'Daily Sales'!$A$5:$A$30,0)),0)</f>
        <v>0</v>
      </c>
      <c r="L26" s="48"/>
      <c r="M26" s="48"/>
      <c r="N26" s="48"/>
      <c r="O26" s="48"/>
    </row>
    <row r="27" spans="1:15" x14ac:dyDescent="0.3">
      <c r="A27" s="16" t="str">
        <f t="shared" si="0"/>
        <v/>
      </c>
      <c r="B27" s="47"/>
      <c r="C27" s="48"/>
      <c r="D27" s="48"/>
      <c r="E27" s="48"/>
      <c r="F27" s="49" t="str">
        <f>IFERROR(INDEX('Menu Master'!$B$4:$B$60,MATCH(E27,'Menu Master'!$A$4:$A$60,0)),"")</f>
        <v/>
      </c>
      <c r="G27" s="49" t="str">
        <f>IFERROR(INDEX('Menu Master'!$C$4:$C$60,MATCH(E27,'Menu Master'!$A$4:$A$60,0)),"")</f>
        <v/>
      </c>
      <c r="H27" s="24"/>
      <c r="I27" s="25">
        <f>IFERROR(INDEX('Daily Sales'!$D$5:$D$30,MATCH(E27,'Daily Sales'!$A$5:$A$30,0)),0)</f>
        <v>0</v>
      </c>
      <c r="J27" s="19">
        <f t="shared" si="1"/>
        <v>0</v>
      </c>
      <c r="K27" s="19">
        <f>H27*IFERROR(INDEX('Daily Sales'!$E$5:$E$30,MATCH(E27,'Daily Sales'!$A$5:$A$30,0)),0)</f>
        <v>0</v>
      </c>
      <c r="L27" s="48"/>
      <c r="M27" s="48"/>
      <c r="N27" s="48"/>
      <c r="O27" s="48"/>
    </row>
    <row r="28" spans="1:15" x14ac:dyDescent="0.3">
      <c r="A28" s="16" t="str">
        <f t="shared" si="0"/>
        <v/>
      </c>
      <c r="B28" s="47"/>
      <c r="C28" s="48"/>
      <c r="D28" s="48"/>
      <c r="E28" s="48"/>
      <c r="F28" s="49" t="str">
        <f>IFERROR(INDEX('Menu Master'!$B$4:$B$60,MATCH(E28,'Menu Master'!$A$4:$A$60,0)),"")</f>
        <v/>
      </c>
      <c r="G28" s="49" t="str">
        <f>IFERROR(INDEX('Menu Master'!$C$4:$C$60,MATCH(E28,'Menu Master'!$A$4:$A$60,0)),"")</f>
        <v/>
      </c>
      <c r="H28" s="24"/>
      <c r="I28" s="25">
        <f>IFERROR(INDEX('Daily Sales'!$D$5:$D$30,MATCH(E28,'Daily Sales'!$A$5:$A$30,0)),0)</f>
        <v>0</v>
      </c>
      <c r="J28" s="19">
        <f t="shared" si="1"/>
        <v>0</v>
      </c>
      <c r="K28" s="19">
        <f>H28*IFERROR(INDEX('Daily Sales'!$E$5:$E$30,MATCH(E28,'Daily Sales'!$A$5:$A$30,0)),0)</f>
        <v>0</v>
      </c>
      <c r="L28" s="48"/>
      <c r="M28" s="48"/>
      <c r="N28" s="48"/>
      <c r="O28" s="48"/>
    </row>
    <row r="29" spans="1:15" x14ac:dyDescent="0.3">
      <c r="A29" s="16" t="str">
        <f t="shared" si="0"/>
        <v/>
      </c>
      <c r="B29" s="47"/>
      <c r="C29" s="48"/>
      <c r="D29" s="48"/>
      <c r="E29" s="48"/>
      <c r="F29" s="49" t="str">
        <f>IFERROR(INDEX('Menu Master'!$B$4:$B$60,MATCH(E29,'Menu Master'!$A$4:$A$60,0)),"")</f>
        <v/>
      </c>
      <c r="G29" s="49" t="str">
        <f>IFERROR(INDEX('Menu Master'!$C$4:$C$60,MATCH(E29,'Menu Master'!$A$4:$A$60,0)),"")</f>
        <v/>
      </c>
      <c r="H29" s="24"/>
      <c r="I29" s="25">
        <f>IFERROR(INDEX('Daily Sales'!$D$5:$D$30,MATCH(E29,'Daily Sales'!$A$5:$A$30,0)),0)</f>
        <v>0</v>
      </c>
      <c r="J29" s="19">
        <f t="shared" si="1"/>
        <v>0</v>
      </c>
      <c r="K29" s="19">
        <f>H29*IFERROR(INDEX('Daily Sales'!$E$5:$E$30,MATCH(E29,'Daily Sales'!$A$5:$A$30,0)),0)</f>
        <v>0</v>
      </c>
      <c r="L29" s="48"/>
      <c r="M29" s="48"/>
      <c r="N29" s="48"/>
      <c r="O29" s="48"/>
    </row>
    <row r="30" spans="1:15" x14ac:dyDescent="0.3">
      <c r="A30" s="16" t="str">
        <f t="shared" si="0"/>
        <v/>
      </c>
      <c r="B30" s="47"/>
      <c r="C30" s="48"/>
      <c r="D30" s="48"/>
      <c r="E30" s="48"/>
      <c r="F30" s="49" t="str">
        <f>IFERROR(INDEX('Menu Master'!$B$4:$B$60,MATCH(E30,'Menu Master'!$A$4:$A$60,0)),"")</f>
        <v/>
      </c>
      <c r="G30" s="49" t="str">
        <f>IFERROR(INDEX('Menu Master'!$C$4:$C$60,MATCH(E30,'Menu Master'!$A$4:$A$60,0)),"")</f>
        <v/>
      </c>
      <c r="H30" s="24"/>
      <c r="I30" s="25">
        <f>IFERROR(INDEX('Daily Sales'!$D$5:$D$30,MATCH(E30,'Daily Sales'!$A$5:$A$30,0)),0)</f>
        <v>0</v>
      </c>
      <c r="J30" s="19">
        <f t="shared" si="1"/>
        <v>0</v>
      </c>
      <c r="K30" s="19">
        <f>H30*IFERROR(INDEX('Daily Sales'!$E$5:$E$30,MATCH(E30,'Daily Sales'!$A$5:$A$30,0)),0)</f>
        <v>0</v>
      </c>
      <c r="L30" s="48"/>
      <c r="M30" s="48"/>
      <c r="N30" s="48"/>
      <c r="O30" s="48"/>
    </row>
    <row r="31" spans="1:15" x14ac:dyDescent="0.3">
      <c r="A31" s="16" t="str">
        <f t="shared" si="0"/>
        <v/>
      </c>
      <c r="B31" s="47"/>
      <c r="C31" s="48"/>
      <c r="D31" s="48"/>
      <c r="E31" s="48"/>
      <c r="F31" s="49" t="str">
        <f>IFERROR(INDEX('Menu Master'!$B$4:$B$60,MATCH(E31,'Menu Master'!$A$4:$A$60,0)),"")</f>
        <v/>
      </c>
      <c r="G31" s="49" t="str">
        <f>IFERROR(INDEX('Menu Master'!$C$4:$C$60,MATCH(E31,'Menu Master'!$A$4:$A$60,0)),"")</f>
        <v/>
      </c>
      <c r="H31" s="24"/>
      <c r="I31" s="25">
        <f>IFERROR(INDEX('Daily Sales'!$D$5:$D$30,MATCH(E31,'Daily Sales'!$A$5:$A$30,0)),0)</f>
        <v>0</v>
      </c>
      <c r="J31" s="19">
        <f t="shared" si="1"/>
        <v>0</v>
      </c>
      <c r="K31" s="19">
        <f>H31*IFERROR(INDEX('Daily Sales'!$E$5:$E$30,MATCH(E31,'Daily Sales'!$A$5:$A$30,0)),0)</f>
        <v>0</v>
      </c>
      <c r="L31" s="48"/>
      <c r="M31" s="48"/>
      <c r="N31" s="48"/>
      <c r="O31" s="48"/>
    </row>
    <row r="32" spans="1:15" x14ac:dyDescent="0.3">
      <c r="A32" s="16" t="str">
        <f t="shared" si="0"/>
        <v/>
      </c>
      <c r="B32" s="47"/>
      <c r="C32" s="48"/>
      <c r="D32" s="48"/>
      <c r="E32" s="48"/>
      <c r="F32" s="49" t="str">
        <f>IFERROR(INDEX('Menu Master'!$B$4:$B$60,MATCH(E32,'Menu Master'!$A$4:$A$60,0)),"")</f>
        <v/>
      </c>
      <c r="G32" s="49" t="str">
        <f>IFERROR(INDEX('Menu Master'!$C$4:$C$60,MATCH(E32,'Menu Master'!$A$4:$A$60,0)),"")</f>
        <v/>
      </c>
      <c r="H32" s="24"/>
      <c r="I32" s="25">
        <f>IFERROR(INDEX('Daily Sales'!$D$5:$D$30,MATCH(E32,'Daily Sales'!$A$5:$A$30,0)),0)</f>
        <v>0</v>
      </c>
      <c r="J32" s="19">
        <f t="shared" si="1"/>
        <v>0</v>
      </c>
      <c r="K32" s="19">
        <f>H32*IFERROR(INDEX('Daily Sales'!$E$5:$E$30,MATCH(E32,'Daily Sales'!$A$5:$A$30,0)),0)</f>
        <v>0</v>
      </c>
      <c r="L32" s="48"/>
      <c r="M32" s="48"/>
      <c r="N32" s="48"/>
      <c r="O32" s="48"/>
    </row>
    <row r="33" spans="1:15" x14ac:dyDescent="0.3">
      <c r="A33" s="16" t="str">
        <f t="shared" si="0"/>
        <v/>
      </c>
      <c r="B33" s="47"/>
      <c r="C33" s="48"/>
      <c r="D33" s="48"/>
      <c r="E33" s="48"/>
      <c r="F33" s="49" t="str">
        <f>IFERROR(INDEX('Menu Master'!$B$4:$B$60,MATCH(E33,'Menu Master'!$A$4:$A$60,0)),"")</f>
        <v/>
      </c>
      <c r="G33" s="49" t="str">
        <f>IFERROR(INDEX('Menu Master'!$C$4:$C$60,MATCH(E33,'Menu Master'!$A$4:$A$60,0)),"")</f>
        <v/>
      </c>
      <c r="H33" s="24"/>
      <c r="I33" s="25">
        <f>IFERROR(INDEX('Daily Sales'!$D$5:$D$30,MATCH(E33,'Daily Sales'!$A$5:$A$30,0)),0)</f>
        <v>0</v>
      </c>
      <c r="J33" s="19">
        <f t="shared" si="1"/>
        <v>0</v>
      </c>
      <c r="K33" s="19">
        <f>H33*IFERROR(INDEX('Daily Sales'!$E$5:$E$30,MATCH(E33,'Daily Sales'!$A$5:$A$30,0)),0)</f>
        <v>0</v>
      </c>
      <c r="L33" s="48"/>
      <c r="M33" s="48"/>
      <c r="N33" s="48"/>
      <c r="O33" s="48"/>
    </row>
    <row r="34" spans="1:15" x14ac:dyDescent="0.3">
      <c r="A34" s="16" t="str">
        <f t="shared" si="0"/>
        <v/>
      </c>
      <c r="B34" s="47"/>
      <c r="C34" s="48"/>
      <c r="D34" s="48"/>
      <c r="E34" s="48"/>
      <c r="F34" s="49" t="str">
        <f>IFERROR(INDEX('Menu Master'!$B$4:$B$60,MATCH(E34,'Menu Master'!$A$4:$A$60,0)),"")</f>
        <v/>
      </c>
      <c r="G34" s="49" t="str">
        <f>IFERROR(INDEX('Menu Master'!$C$4:$C$60,MATCH(E34,'Menu Master'!$A$4:$A$60,0)),"")</f>
        <v/>
      </c>
      <c r="H34" s="24"/>
      <c r="I34" s="25">
        <f>IFERROR(INDEX('Daily Sales'!$D$5:$D$30,MATCH(E34,'Daily Sales'!$A$5:$A$30,0)),0)</f>
        <v>0</v>
      </c>
      <c r="J34" s="19">
        <f t="shared" si="1"/>
        <v>0</v>
      </c>
      <c r="K34" s="19">
        <f>H34*IFERROR(INDEX('Daily Sales'!$E$5:$E$30,MATCH(E34,'Daily Sales'!$A$5:$A$30,0)),0)</f>
        <v>0</v>
      </c>
      <c r="L34" s="48"/>
      <c r="M34" s="48"/>
      <c r="N34" s="48"/>
      <c r="O34" s="48"/>
    </row>
    <row r="35" spans="1:15" x14ac:dyDescent="0.3">
      <c r="A35" s="16" t="str">
        <f t="shared" si="0"/>
        <v/>
      </c>
      <c r="B35" s="47"/>
      <c r="C35" s="48"/>
      <c r="D35" s="48"/>
      <c r="E35" s="48"/>
      <c r="F35" s="49" t="str">
        <f>IFERROR(INDEX('Menu Master'!$B$4:$B$60,MATCH(E35,'Menu Master'!$A$4:$A$60,0)),"")</f>
        <v/>
      </c>
      <c r="G35" s="49" t="str">
        <f>IFERROR(INDEX('Menu Master'!$C$4:$C$60,MATCH(E35,'Menu Master'!$A$4:$A$60,0)),"")</f>
        <v/>
      </c>
      <c r="H35" s="24"/>
      <c r="I35" s="25">
        <f>IFERROR(INDEX('Daily Sales'!$D$5:$D$30,MATCH(E35,'Daily Sales'!$A$5:$A$30,0)),0)</f>
        <v>0</v>
      </c>
      <c r="J35" s="19">
        <f t="shared" si="1"/>
        <v>0</v>
      </c>
      <c r="K35" s="19">
        <f>H35*IFERROR(INDEX('Daily Sales'!$E$5:$E$30,MATCH(E35,'Daily Sales'!$A$5:$A$30,0)),0)</f>
        <v>0</v>
      </c>
      <c r="L35" s="48"/>
      <c r="M35" s="48"/>
      <c r="N35" s="48"/>
      <c r="O35" s="48"/>
    </row>
    <row r="36" spans="1:15" x14ac:dyDescent="0.3">
      <c r="A36" s="16" t="str">
        <f t="shared" si="0"/>
        <v/>
      </c>
      <c r="B36" s="47"/>
      <c r="C36" s="48"/>
      <c r="D36" s="48"/>
      <c r="E36" s="48"/>
      <c r="F36" s="49" t="str">
        <f>IFERROR(INDEX('Menu Master'!$B$4:$B$60,MATCH(E36,'Menu Master'!$A$4:$A$60,0)),"")</f>
        <v/>
      </c>
      <c r="G36" s="49" t="str">
        <f>IFERROR(INDEX('Menu Master'!$C$4:$C$60,MATCH(E36,'Menu Master'!$A$4:$A$60,0)),"")</f>
        <v/>
      </c>
      <c r="H36" s="24"/>
      <c r="I36" s="25">
        <f>IFERROR(INDEX('Daily Sales'!$D$5:$D$30,MATCH(E36,'Daily Sales'!$A$5:$A$30,0)),0)</f>
        <v>0</v>
      </c>
      <c r="J36" s="19">
        <f t="shared" si="1"/>
        <v>0</v>
      </c>
      <c r="K36" s="19">
        <f>H36*IFERROR(INDEX('Daily Sales'!$E$5:$E$30,MATCH(E36,'Daily Sales'!$A$5:$A$30,0)),0)</f>
        <v>0</v>
      </c>
      <c r="L36" s="48"/>
      <c r="M36" s="48"/>
      <c r="N36" s="48"/>
      <c r="O36" s="48"/>
    </row>
    <row r="37" spans="1:15" x14ac:dyDescent="0.3">
      <c r="A37" s="16" t="str">
        <f t="shared" si="0"/>
        <v/>
      </c>
      <c r="B37" s="47"/>
      <c r="C37" s="48"/>
      <c r="D37" s="48"/>
      <c r="E37" s="48"/>
      <c r="F37" s="49" t="str">
        <f>IFERROR(INDEX('Menu Master'!$B$4:$B$60,MATCH(E37,'Menu Master'!$A$4:$A$60,0)),"")</f>
        <v/>
      </c>
      <c r="G37" s="49" t="str">
        <f>IFERROR(INDEX('Menu Master'!$C$4:$C$60,MATCH(E37,'Menu Master'!$A$4:$A$60,0)),"")</f>
        <v/>
      </c>
      <c r="H37" s="24"/>
      <c r="I37" s="25">
        <f>IFERROR(INDEX('Daily Sales'!$D$5:$D$30,MATCH(E37,'Daily Sales'!$A$5:$A$30,0)),0)</f>
        <v>0</v>
      </c>
      <c r="J37" s="19">
        <f t="shared" si="1"/>
        <v>0</v>
      </c>
      <c r="K37" s="19">
        <f>H37*IFERROR(INDEX('Daily Sales'!$E$5:$E$30,MATCH(E37,'Daily Sales'!$A$5:$A$30,0)),0)</f>
        <v>0</v>
      </c>
      <c r="L37" s="48"/>
      <c r="M37" s="48"/>
      <c r="N37" s="48"/>
      <c r="O37" s="48"/>
    </row>
    <row r="38" spans="1:15" x14ac:dyDescent="0.3">
      <c r="A38" s="16" t="str">
        <f t="shared" si="0"/>
        <v/>
      </c>
      <c r="B38" s="47"/>
      <c r="C38" s="48"/>
      <c r="D38" s="48"/>
      <c r="E38" s="48"/>
      <c r="F38" s="49" t="str">
        <f>IFERROR(INDEX('Menu Master'!$B$4:$B$60,MATCH(E38,'Menu Master'!$A$4:$A$60,0)),"")</f>
        <v/>
      </c>
      <c r="G38" s="49" t="str">
        <f>IFERROR(INDEX('Menu Master'!$C$4:$C$60,MATCH(E38,'Menu Master'!$A$4:$A$60,0)),"")</f>
        <v/>
      </c>
      <c r="H38" s="24"/>
      <c r="I38" s="25">
        <f>IFERROR(INDEX('Daily Sales'!$D$5:$D$30,MATCH(E38,'Daily Sales'!$A$5:$A$30,0)),0)</f>
        <v>0</v>
      </c>
      <c r="J38" s="19">
        <f t="shared" si="1"/>
        <v>0</v>
      </c>
      <c r="K38" s="19">
        <f>H38*IFERROR(INDEX('Daily Sales'!$E$5:$E$30,MATCH(E38,'Daily Sales'!$A$5:$A$30,0)),0)</f>
        <v>0</v>
      </c>
      <c r="L38" s="48"/>
      <c r="M38" s="48"/>
      <c r="N38" s="48"/>
      <c r="O38" s="48"/>
    </row>
    <row r="39" spans="1:15" x14ac:dyDescent="0.3">
      <c r="A39" s="16" t="str">
        <f t="shared" si="0"/>
        <v/>
      </c>
      <c r="B39" s="47"/>
      <c r="C39" s="48"/>
      <c r="D39" s="48"/>
      <c r="E39" s="48"/>
      <c r="F39" s="49" t="str">
        <f>IFERROR(INDEX('Menu Master'!$B$4:$B$60,MATCH(E39,'Menu Master'!$A$4:$A$60,0)),"")</f>
        <v/>
      </c>
      <c r="G39" s="49" t="str">
        <f>IFERROR(INDEX('Menu Master'!$C$4:$C$60,MATCH(E39,'Menu Master'!$A$4:$A$60,0)),"")</f>
        <v/>
      </c>
      <c r="H39" s="24"/>
      <c r="I39" s="25">
        <f>IFERROR(INDEX('Daily Sales'!$D$5:$D$30,MATCH(E39,'Daily Sales'!$A$5:$A$30,0)),0)</f>
        <v>0</v>
      </c>
      <c r="J39" s="19">
        <f t="shared" si="1"/>
        <v>0</v>
      </c>
      <c r="K39" s="19">
        <f>H39*IFERROR(INDEX('Daily Sales'!$E$5:$E$30,MATCH(E39,'Daily Sales'!$A$5:$A$30,0)),0)</f>
        <v>0</v>
      </c>
      <c r="L39" s="48"/>
      <c r="M39" s="48"/>
      <c r="N39" s="48"/>
      <c r="O39" s="48"/>
    </row>
    <row r="40" spans="1:15" x14ac:dyDescent="0.3">
      <c r="A40" s="16" t="str">
        <f t="shared" si="0"/>
        <v/>
      </c>
      <c r="B40" s="47"/>
      <c r="C40" s="48"/>
      <c r="D40" s="48"/>
      <c r="E40" s="48"/>
      <c r="F40" s="49" t="str">
        <f>IFERROR(INDEX('Menu Master'!$B$4:$B$60,MATCH(E40,'Menu Master'!$A$4:$A$60,0)),"")</f>
        <v/>
      </c>
      <c r="G40" s="49" t="str">
        <f>IFERROR(INDEX('Menu Master'!$C$4:$C$60,MATCH(E40,'Menu Master'!$A$4:$A$60,0)),"")</f>
        <v/>
      </c>
      <c r="H40" s="24"/>
      <c r="I40" s="25">
        <f>IFERROR(INDEX('Daily Sales'!$D$5:$D$30,MATCH(E40,'Daily Sales'!$A$5:$A$30,0)),0)</f>
        <v>0</v>
      </c>
      <c r="J40" s="19">
        <f t="shared" si="1"/>
        <v>0</v>
      </c>
      <c r="K40" s="19">
        <f>H40*IFERROR(INDEX('Daily Sales'!$E$5:$E$30,MATCH(E40,'Daily Sales'!$A$5:$A$30,0)),0)</f>
        <v>0</v>
      </c>
      <c r="L40" s="48"/>
      <c r="M40" s="48"/>
      <c r="N40" s="48"/>
      <c r="O40" s="48"/>
    </row>
    <row r="41" spans="1:15" x14ac:dyDescent="0.3">
      <c r="A41" s="16" t="str">
        <f t="shared" si="0"/>
        <v/>
      </c>
      <c r="B41" s="47"/>
      <c r="C41" s="48"/>
      <c r="D41" s="48"/>
      <c r="E41" s="48"/>
      <c r="F41" s="49" t="str">
        <f>IFERROR(INDEX('Menu Master'!$B$4:$B$60,MATCH(E41,'Menu Master'!$A$4:$A$60,0)),"")</f>
        <v/>
      </c>
      <c r="G41" s="49" t="str">
        <f>IFERROR(INDEX('Menu Master'!$C$4:$C$60,MATCH(E41,'Menu Master'!$A$4:$A$60,0)),"")</f>
        <v/>
      </c>
      <c r="H41" s="24"/>
      <c r="I41" s="25">
        <f>IFERROR(INDEX('Daily Sales'!$D$5:$D$30,MATCH(E41,'Daily Sales'!$A$5:$A$30,0)),0)</f>
        <v>0</v>
      </c>
      <c r="J41" s="19">
        <f t="shared" si="1"/>
        <v>0</v>
      </c>
      <c r="K41" s="19">
        <f>H41*IFERROR(INDEX('Daily Sales'!$E$5:$E$30,MATCH(E41,'Daily Sales'!$A$5:$A$30,0)),0)</f>
        <v>0</v>
      </c>
      <c r="L41" s="48"/>
      <c r="M41" s="48"/>
      <c r="N41" s="48"/>
      <c r="O41" s="48"/>
    </row>
    <row r="42" spans="1:15" x14ac:dyDescent="0.3">
      <c r="A42" s="16" t="str">
        <f t="shared" si="0"/>
        <v/>
      </c>
      <c r="B42" s="47"/>
      <c r="C42" s="48"/>
      <c r="D42" s="48"/>
      <c r="E42" s="48"/>
      <c r="F42" s="49" t="str">
        <f>IFERROR(INDEX('Menu Master'!$B$4:$B$60,MATCH(E42,'Menu Master'!$A$4:$A$60,0)),"")</f>
        <v/>
      </c>
      <c r="G42" s="49" t="str">
        <f>IFERROR(INDEX('Menu Master'!$C$4:$C$60,MATCH(E42,'Menu Master'!$A$4:$A$60,0)),"")</f>
        <v/>
      </c>
      <c r="H42" s="24"/>
      <c r="I42" s="25">
        <f>IFERROR(INDEX('Daily Sales'!$D$5:$D$30,MATCH(E42,'Daily Sales'!$A$5:$A$30,0)),0)</f>
        <v>0</v>
      </c>
      <c r="J42" s="19">
        <f t="shared" si="1"/>
        <v>0</v>
      </c>
      <c r="K42" s="19">
        <f>H42*IFERROR(INDEX('Daily Sales'!$E$5:$E$30,MATCH(E42,'Daily Sales'!$A$5:$A$30,0)),0)</f>
        <v>0</v>
      </c>
      <c r="L42" s="48"/>
      <c r="M42" s="48"/>
      <c r="N42" s="48"/>
      <c r="O42" s="48"/>
    </row>
    <row r="43" spans="1:15" x14ac:dyDescent="0.3">
      <c r="A43" s="16" t="str">
        <f t="shared" si="0"/>
        <v/>
      </c>
      <c r="B43" s="47"/>
      <c r="C43" s="48"/>
      <c r="D43" s="48"/>
      <c r="E43" s="48"/>
      <c r="F43" s="49" t="str">
        <f>IFERROR(INDEX('Menu Master'!$B$4:$B$60,MATCH(E43,'Menu Master'!$A$4:$A$60,0)),"")</f>
        <v/>
      </c>
      <c r="G43" s="49" t="str">
        <f>IFERROR(INDEX('Menu Master'!$C$4:$C$60,MATCH(E43,'Menu Master'!$A$4:$A$60,0)),"")</f>
        <v/>
      </c>
      <c r="H43" s="24"/>
      <c r="I43" s="25">
        <f>IFERROR(INDEX('Daily Sales'!$D$5:$D$30,MATCH(E43,'Daily Sales'!$A$5:$A$30,0)),0)</f>
        <v>0</v>
      </c>
      <c r="J43" s="19">
        <f t="shared" si="1"/>
        <v>0</v>
      </c>
      <c r="K43" s="19">
        <f>H43*IFERROR(INDEX('Daily Sales'!$E$5:$E$30,MATCH(E43,'Daily Sales'!$A$5:$A$30,0)),0)</f>
        <v>0</v>
      </c>
      <c r="L43" s="48"/>
      <c r="M43" s="48"/>
      <c r="N43" s="48"/>
      <c r="O43" s="48"/>
    </row>
    <row r="44" spans="1:15" x14ac:dyDescent="0.3">
      <c r="A44" s="16" t="str">
        <f t="shared" si="0"/>
        <v/>
      </c>
      <c r="B44" s="47"/>
      <c r="C44" s="48"/>
      <c r="D44" s="48"/>
      <c r="E44" s="48"/>
      <c r="F44" s="49" t="str">
        <f>IFERROR(INDEX('Menu Master'!$B$4:$B$60,MATCH(E44,'Menu Master'!$A$4:$A$60,0)),"")</f>
        <v/>
      </c>
      <c r="G44" s="49" t="str">
        <f>IFERROR(INDEX('Menu Master'!$C$4:$C$60,MATCH(E44,'Menu Master'!$A$4:$A$60,0)),"")</f>
        <v/>
      </c>
      <c r="H44" s="24"/>
      <c r="I44" s="25">
        <f>IFERROR(INDEX('Daily Sales'!$D$5:$D$30,MATCH(E44,'Daily Sales'!$A$5:$A$30,0)),0)</f>
        <v>0</v>
      </c>
      <c r="J44" s="19">
        <f t="shared" si="1"/>
        <v>0</v>
      </c>
      <c r="K44" s="19">
        <f>H44*IFERROR(INDEX('Daily Sales'!$E$5:$E$30,MATCH(E44,'Daily Sales'!$A$5:$A$30,0)),0)</f>
        <v>0</v>
      </c>
      <c r="L44" s="48"/>
      <c r="M44" s="48"/>
      <c r="N44" s="48"/>
      <c r="O44" s="48"/>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00020"/>
  </sheetPr>
  <dimension ref="A1:P44"/>
  <sheetViews>
    <sheetView showGridLines="0" zoomScaleNormal="100" workbookViewId="0">
      <pane ySplit="4" topLeftCell="A5" activePane="bottomLeft" state="frozen"/>
      <selection pane="bottomLeft" activeCell="E6" sqref="E6"/>
    </sheetView>
  </sheetViews>
  <sheetFormatPr defaultColWidth="8.6640625" defaultRowHeight="14.4" x14ac:dyDescent="0.3"/>
  <cols>
    <col min="1" max="1" width="9" customWidth="1"/>
    <col min="2" max="2" width="11" customWidth="1"/>
    <col min="3" max="3" width="8" customWidth="1"/>
    <col min="4" max="5" width="10" customWidth="1"/>
    <col min="6" max="6" width="24" customWidth="1"/>
    <col min="7" max="7" width="10" customWidth="1"/>
    <col min="8" max="8" width="6" customWidth="1"/>
    <col min="9" max="11" width="11" customWidth="1"/>
    <col min="12" max="12" width="10" customWidth="1"/>
    <col min="13" max="14" width="16" customWidth="1"/>
    <col min="15" max="15" width="14" customWidth="1"/>
    <col min="16" max="16" width="16" customWidth="1"/>
  </cols>
  <sheetData>
    <row r="1" spans="1:16" ht="25.5" customHeight="1" x14ac:dyDescent="0.3">
      <c r="A1" s="14" t="s">
        <v>601</v>
      </c>
      <c r="B1" s="14"/>
      <c r="C1" s="14"/>
      <c r="D1" s="14"/>
      <c r="E1" s="14"/>
      <c r="F1" s="14"/>
      <c r="G1" s="14"/>
      <c r="H1" s="14"/>
      <c r="I1" s="14"/>
      <c r="J1" s="14"/>
    </row>
    <row r="2" spans="1:16" x14ac:dyDescent="0.3">
      <c r="A2" s="13" t="s">
        <v>602</v>
      </c>
      <c r="B2" s="13"/>
      <c r="C2" s="13"/>
      <c r="D2" s="13"/>
      <c r="E2" s="13"/>
      <c r="F2" s="13"/>
      <c r="G2" s="13"/>
      <c r="H2" s="13"/>
      <c r="I2" s="13"/>
      <c r="J2" s="13"/>
    </row>
    <row r="4" spans="1:16" ht="30" customHeight="1" x14ac:dyDescent="0.3">
      <c r="A4" s="15" t="s">
        <v>603</v>
      </c>
      <c r="B4" s="15" t="s">
        <v>558</v>
      </c>
      <c r="C4" s="15" t="s">
        <v>583</v>
      </c>
      <c r="D4" s="15" t="s">
        <v>604</v>
      </c>
      <c r="E4" s="15" t="s">
        <v>585</v>
      </c>
      <c r="F4" s="15" t="s">
        <v>41</v>
      </c>
      <c r="G4" s="15" t="s">
        <v>30</v>
      </c>
      <c r="H4" s="15" t="s">
        <v>586</v>
      </c>
      <c r="I4" s="15" t="s">
        <v>587</v>
      </c>
      <c r="J4" s="15" t="s">
        <v>605</v>
      </c>
      <c r="K4" s="15" t="s">
        <v>606</v>
      </c>
      <c r="L4" s="15" t="s">
        <v>589</v>
      </c>
      <c r="M4" s="15" t="s">
        <v>564</v>
      </c>
      <c r="N4" s="15" t="s">
        <v>607</v>
      </c>
      <c r="O4" s="15" t="s">
        <v>592</v>
      </c>
      <c r="P4" s="15" t="s">
        <v>593</v>
      </c>
    </row>
    <row r="5" spans="1:16" x14ac:dyDescent="0.3">
      <c r="A5" s="16" t="str">
        <f t="shared" ref="A5:A44" si="0">IF(E5="","","CMP-"&amp;TEXT(ROW()-4,"000"))</f>
        <v>CMP-001</v>
      </c>
      <c r="B5" s="47">
        <v>46206</v>
      </c>
      <c r="C5" s="48" t="s">
        <v>608</v>
      </c>
      <c r="D5" s="48" t="s">
        <v>609</v>
      </c>
      <c r="E5" s="48" t="s">
        <v>243</v>
      </c>
      <c r="F5" s="49" t="str">
        <f>IFERROR(INDEX('Menu Master'!$B$4:$B$60,MATCH(E5,'Menu Master'!$A$4:$A$60,0)),"")</f>
        <v>Americano</v>
      </c>
      <c r="G5" s="49" t="str">
        <f>IFERROR(INDEX('Menu Master'!$C$4:$C$60,MATCH(E5,'Menu Master'!$A$4:$A$60,0)),"")</f>
        <v>Beverage</v>
      </c>
      <c r="H5" s="24">
        <v>2</v>
      </c>
      <c r="I5" s="25">
        <f>IFERROR(INDEX('Daily Sales'!$D$5:$D$30,MATCH(E5,'Daily Sales'!$A$5:$A$30,0)),0)</f>
        <v>90</v>
      </c>
      <c r="J5" s="50">
        <f t="shared" ref="J5:J44" si="1">H5*I5</f>
        <v>180</v>
      </c>
      <c r="K5" s="25">
        <f>IFERROR(INDEX('Daily Sales'!$E$5:$E$30,MATCH(E5,'Daily Sales'!$A$5:$A$30,0)),0)</f>
        <v>16.2</v>
      </c>
      <c r="L5" s="50">
        <f t="shared" ref="L5:L44" si="2">H5*K5</f>
        <v>32.4</v>
      </c>
      <c r="M5" s="48" t="s">
        <v>610</v>
      </c>
      <c r="N5" s="48" t="s">
        <v>611</v>
      </c>
      <c r="O5" s="48" t="s">
        <v>572</v>
      </c>
      <c r="P5" s="48"/>
    </row>
    <row r="6" spans="1:16" x14ac:dyDescent="0.3">
      <c r="A6" s="16" t="str">
        <f t="shared" si="0"/>
        <v/>
      </c>
      <c r="B6" s="47"/>
      <c r="C6" s="48"/>
      <c r="D6" s="48"/>
      <c r="E6" s="48"/>
      <c r="F6" s="49" t="str">
        <f>IFERROR(INDEX('Menu Master'!$B$4:$B$60,MATCH(E6,'Menu Master'!$A$4:$A$60,0)),"")</f>
        <v/>
      </c>
      <c r="G6" s="49" t="str">
        <f>IFERROR(INDEX('Menu Master'!$C$4:$C$60,MATCH(E6,'Menu Master'!$A$4:$A$60,0)),"")</f>
        <v/>
      </c>
      <c r="H6" s="24"/>
      <c r="I6" s="25">
        <f>IFERROR(INDEX('Daily Sales'!$D$5:$D$30,MATCH(E6,'Daily Sales'!$A$5:$A$30,0)),0)</f>
        <v>0</v>
      </c>
      <c r="J6" s="50">
        <f t="shared" si="1"/>
        <v>0</v>
      </c>
      <c r="K6" s="25">
        <f>IFERROR(INDEX('Daily Sales'!$E$5:$E$30,MATCH(E6,'Daily Sales'!$A$5:$A$30,0)),0)</f>
        <v>0</v>
      </c>
      <c r="L6" s="50">
        <f t="shared" si="2"/>
        <v>0</v>
      </c>
      <c r="M6" s="48"/>
      <c r="N6" s="48"/>
      <c r="O6" s="48"/>
      <c r="P6" s="48"/>
    </row>
    <row r="7" spans="1:16" x14ac:dyDescent="0.3">
      <c r="A7" s="16" t="str">
        <f t="shared" si="0"/>
        <v/>
      </c>
      <c r="B7" s="47"/>
      <c r="C7" s="48"/>
      <c r="D7" s="48"/>
      <c r="E7" s="48"/>
      <c r="F7" s="49" t="str">
        <f>IFERROR(INDEX('Menu Master'!$B$4:$B$60,MATCH(E7,'Menu Master'!$A$4:$A$60,0)),"")</f>
        <v/>
      </c>
      <c r="G7" s="49" t="str">
        <f>IFERROR(INDEX('Menu Master'!$C$4:$C$60,MATCH(E7,'Menu Master'!$A$4:$A$60,0)),"")</f>
        <v/>
      </c>
      <c r="H7" s="24"/>
      <c r="I7" s="25">
        <f>IFERROR(INDEX('Daily Sales'!$D$5:$D$30,MATCH(E7,'Daily Sales'!$A$5:$A$30,0)),0)</f>
        <v>0</v>
      </c>
      <c r="J7" s="50">
        <f t="shared" si="1"/>
        <v>0</v>
      </c>
      <c r="K7" s="25">
        <f>IFERROR(INDEX('Daily Sales'!$E$5:$E$30,MATCH(E7,'Daily Sales'!$A$5:$A$30,0)),0)</f>
        <v>0</v>
      </c>
      <c r="L7" s="50">
        <f t="shared" si="2"/>
        <v>0</v>
      </c>
      <c r="M7" s="48"/>
      <c r="N7" s="48"/>
      <c r="O7" s="48"/>
      <c r="P7" s="48"/>
    </row>
    <row r="8" spans="1:16" x14ac:dyDescent="0.3">
      <c r="A8" s="16" t="str">
        <f t="shared" si="0"/>
        <v/>
      </c>
      <c r="B8" s="47"/>
      <c r="C8" s="48"/>
      <c r="D8" s="48"/>
      <c r="E8" s="48"/>
      <c r="F8" s="49" t="str">
        <f>IFERROR(INDEX('Menu Master'!$B$4:$B$60,MATCH(E8,'Menu Master'!$A$4:$A$60,0)),"")</f>
        <v/>
      </c>
      <c r="G8" s="49" t="str">
        <f>IFERROR(INDEX('Menu Master'!$C$4:$C$60,MATCH(E8,'Menu Master'!$A$4:$A$60,0)),"")</f>
        <v/>
      </c>
      <c r="H8" s="24"/>
      <c r="I8" s="25">
        <f>IFERROR(INDEX('Daily Sales'!$D$5:$D$30,MATCH(E8,'Daily Sales'!$A$5:$A$30,0)),0)</f>
        <v>0</v>
      </c>
      <c r="J8" s="50">
        <f t="shared" si="1"/>
        <v>0</v>
      </c>
      <c r="K8" s="25">
        <f>IFERROR(INDEX('Daily Sales'!$E$5:$E$30,MATCH(E8,'Daily Sales'!$A$5:$A$30,0)),0)</f>
        <v>0</v>
      </c>
      <c r="L8" s="50">
        <f t="shared" si="2"/>
        <v>0</v>
      </c>
      <c r="M8" s="48"/>
      <c r="N8" s="48"/>
      <c r="O8" s="48"/>
      <c r="P8" s="48"/>
    </row>
    <row r="9" spans="1:16" x14ac:dyDescent="0.3">
      <c r="A9" s="16" t="str">
        <f t="shared" si="0"/>
        <v/>
      </c>
      <c r="B9" s="47"/>
      <c r="C9" s="48"/>
      <c r="D9" s="48"/>
      <c r="E9" s="48"/>
      <c r="F9" s="49" t="str">
        <f>IFERROR(INDEX('Menu Master'!$B$4:$B$60,MATCH(E9,'Menu Master'!$A$4:$A$60,0)),"")</f>
        <v/>
      </c>
      <c r="G9" s="49" t="str">
        <f>IFERROR(INDEX('Menu Master'!$C$4:$C$60,MATCH(E9,'Menu Master'!$A$4:$A$60,0)),"")</f>
        <v/>
      </c>
      <c r="H9" s="24"/>
      <c r="I9" s="25">
        <f>IFERROR(INDEX('Daily Sales'!$D$5:$D$30,MATCH(E9,'Daily Sales'!$A$5:$A$30,0)),0)</f>
        <v>0</v>
      </c>
      <c r="J9" s="50">
        <f t="shared" si="1"/>
        <v>0</v>
      </c>
      <c r="K9" s="25">
        <f>IFERROR(INDEX('Daily Sales'!$E$5:$E$30,MATCH(E9,'Daily Sales'!$A$5:$A$30,0)),0)</f>
        <v>0</v>
      </c>
      <c r="L9" s="50">
        <f t="shared" si="2"/>
        <v>0</v>
      </c>
      <c r="M9" s="48"/>
      <c r="N9" s="48"/>
      <c r="O9" s="48"/>
      <c r="P9" s="48"/>
    </row>
    <row r="10" spans="1:16" x14ac:dyDescent="0.3">
      <c r="A10" s="16" t="str">
        <f t="shared" si="0"/>
        <v/>
      </c>
      <c r="B10" s="47"/>
      <c r="C10" s="48"/>
      <c r="D10" s="48"/>
      <c r="E10" s="48"/>
      <c r="F10" s="49" t="str">
        <f>IFERROR(INDEX('Menu Master'!$B$4:$B$60,MATCH(E10,'Menu Master'!$A$4:$A$60,0)),"")</f>
        <v/>
      </c>
      <c r="G10" s="49" t="str">
        <f>IFERROR(INDEX('Menu Master'!$C$4:$C$60,MATCH(E10,'Menu Master'!$A$4:$A$60,0)),"")</f>
        <v/>
      </c>
      <c r="H10" s="24"/>
      <c r="I10" s="25">
        <f>IFERROR(INDEX('Daily Sales'!$D$5:$D$30,MATCH(E10,'Daily Sales'!$A$5:$A$30,0)),0)</f>
        <v>0</v>
      </c>
      <c r="J10" s="50">
        <f t="shared" si="1"/>
        <v>0</v>
      </c>
      <c r="K10" s="25">
        <f>IFERROR(INDEX('Daily Sales'!$E$5:$E$30,MATCH(E10,'Daily Sales'!$A$5:$A$30,0)),0)</f>
        <v>0</v>
      </c>
      <c r="L10" s="50">
        <f t="shared" si="2"/>
        <v>0</v>
      </c>
      <c r="M10" s="48"/>
      <c r="N10" s="48"/>
      <c r="O10" s="48"/>
      <c r="P10" s="48"/>
    </row>
    <row r="11" spans="1:16" x14ac:dyDescent="0.3">
      <c r="A11" s="16" t="str">
        <f t="shared" si="0"/>
        <v/>
      </c>
      <c r="B11" s="47"/>
      <c r="C11" s="48"/>
      <c r="D11" s="48"/>
      <c r="E11" s="48"/>
      <c r="F11" s="49" t="str">
        <f>IFERROR(INDEX('Menu Master'!$B$4:$B$60,MATCH(E11,'Menu Master'!$A$4:$A$60,0)),"")</f>
        <v/>
      </c>
      <c r="G11" s="49" t="str">
        <f>IFERROR(INDEX('Menu Master'!$C$4:$C$60,MATCH(E11,'Menu Master'!$A$4:$A$60,0)),"")</f>
        <v/>
      </c>
      <c r="H11" s="24"/>
      <c r="I11" s="25">
        <f>IFERROR(INDEX('Daily Sales'!$D$5:$D$30,MATCH(E11,'Daily Sales'!$A$5:$A$30,0)),0)</f>
        <v>0</v>
      </c>
      <c r="J11" s="50">
        <f t="shared" si="1"/>
        <v>0</v>
      </c>
      <c r="K11" s="25">
        <f>IFERROR(INDEX('Daily Sales'!$E$5:$E$30,MATCH(E11,'Daily Sales'!$A$5:$A$30,0)),0)</f>
        <v>0</v>
      </c>
      <c r="L11" s="50">
        <f t="shared" si="2"/>
        <v>0</v>
      </c>
      <c r="M11" s="48"/>
      <c r="N11" s="48"/>
      <c r="O11" s="48"/>
      <c r="P11" s="48"/>
    </row>
    <row r="12" spans="1:16" x14ac:dyDescent="0.3">
      <c r="A12" s="16" t="str">
        <f t="shared" si="0"/>
        <v/>
      </c>
      <c r="B12" s="47"/>
      <c r="C12" s="48"/>
      <c r="D12" s="48"/>
      <c r="E12" s="48"/>
      <c r="F12" s="49" t="str">
        <f>IFERROR(INDEX('Menu Master'!$B$4:$B$60,MATCH(E12,'Menu Master'!$A$4:$A$60,0)),"")</f>
        <v/>
      </c>
      <c r="G12" s="49" t="str">
        <f>IFERROR(INDEX('Menu Master'!$C$4:$C$60,MATCH(E12,'Menu Master'!$A$4:$A$60,0)),"")</f>
        <v/>
      </c>
      <c r="H12" s="24"/>
      <c r="I12" s="25">
        <f>IFERROR(INDEX('Daily Sales'!$D$5:$D$30,MATCH(E12,'Daily Sales'!$A$5:$A$30,0)),0)</f>
        <v>0</v>
      </c>
      <c r="J12" s="50">
        <f t="shared" si="1"/>
        <v>0</v>
      </c>
      <c r="K12" s="25">
        <f>IFERROR(INDEX('Daily Sales'!$E$5:$E$30,MATCH(E12,'Daily Sales'!$A$5:$A$30,0)),0)</f>
        <v>0</v>
      </c>
      <c r="L12" s="50">
        <f t="shared" si="2"/>
        <v>0</v>
      </c>
      <c r="M12" s="48"/>
      <c r="N12" s="48"/>
      <c r="O12" s="48"/>
      <c r="P12" s="48"/>
    </row>
    <row r="13" spans="1:16" x14ac:dyDescent="0.3">
      <c r="A13" s="16" t="str">
        <f t="shared" si="0"/>
        <v/>
      </c>
      <c r="B13" s="47"/>
      <c r="C13" s="48"/>
      <c r="D13" s="48"/>
      <c r="E13" s="48"/>
      <c r="F13" s="49" t="str">
        <f>IFERROR(INDEX('Menu Master'!$B$4:$B$60,MATCH(E13,'Menu Master'!$A$4:$A$60,0)),"")</f>
        <v/>
      </c>
      <c r="G13" s="49" t="str">
        <f>IFERROR(INDEX('Menu Master'!$C$4:$C$60,MATCH(E13,'Menu Master'!$A$4:$A$60,0)),"")</f>
        <v/>
      </c>
      <c r="H13" s="24"/>
      <c r="I13" s="25">
        <f>IFERROR(INDEX('Daily Sales'!$D$5:$D$30,MATCH(E13,'Daily Sales'!$A$5:$A$30,0)),0)</f>
        <v>0</v>
      </c>
      <c r="J13" s="50">
        <f t="shared" si="1"/>
        <v>0</v>
      </c>
      <c r="K13" s="25">
        <f>IFERROR(INDEX('Daily Sales'!$E$5:$E$30,MATCH(E13,'Daily Sales'!$A$5:$A$30,0)),0)</f>
        <v>0</v>
      </c>
      <c r="L13" s="50">
        <f t="shared" si="2"/>
        <v>0</v>
      </c>
      <c r="M13" s="48"/>
      <c r="N13" s="48"/>
      <c r="O13" s="48"/>
      <c r="P13" s="48"/>
    </row>
    <row r="14" spans="1:16" x14ac:dyDescent="0.3">
      <c r="A14" s="16" t="str">
        <f t="shared" si="0"/>
        <v/>
      </c>
      <c r="B14" s="47"/>
      <c r="C14" s="48"/>
      <c r="D14" s="48"/>
      <c r="E14" s="48"/>
      <c r="F14" s="49" t="str">
        <f>IFERROR(INDEX('Menu Master'!$B$4:$B$60,MATCH(E14,'Menu Master'!$A$4:$A$60,0)),"")</f>
        <v/>
      </c>
      <c r="G14" s="49" t="str">
        <f>IFERROR(INDEX('Menu Master'!$C$4:$C$60,MATCH(E14,'Menu Master'!$A$4:$A$60,0)),"")</f>
        <v/>
      </c>
      <c r="H14" s="24"/>
      <c r="I14" s="25">
        <f>IFERROR(INDEX('Daily Sales'!$D$5:$D$30,MATCH(E14,'Daily Sales'!$A$5:$A$30,0)),0)</f>
        <v>0</v>
      </c>
      <c r="J14" s="50">
        <f t="shared" si="1"/>
        <v>0</v>
      </c>
      <c r="K14" s="25">
        <f>IFERROR(INDEX('Daily Sales'!$E$5:$E$30,MATCH(E14,'Daily Sales'!$A$5:$A$30,0)),0)</f>
        <v>0</v>
      </c>
      <c r="L14" s="50">
        <f t="shared" si="2"/>
        <v>0</v>
      </c>
      <c r="M14" s="48"/>
      <c r="N14" s="48"/>
      <c r="O14" s="48"/>
      <c r="P14" s="48"/>
    </row>
    <row r="15" spans="1:16" x14ac:dyDescent="0.3">
      <c r="A15" s="16" t="str">
        <f t="shared" si="0"/>
        <v/>
      </c>
      <c r="B15" s="47"/>
      <c r="C15" s="48"/>
      <c r="D15" s="48"/>
      <c r="E15" s="48"/>
      <c r="F15" s="49" t="str">
        <f>IFERROR(INDEX('Menu Master'!$B$4:$B$60,MATCH(E15,'Menu Master'!$A$4:$A$60,0)),"")</f>
        <v/>
      </c>
      <c r="G15" s="49" t="str">
        <f>IFERROR(INDEX('Menu Master'!$C$4:$C$60,MATCH(E15,'Menu Master'!$A$4:$A$60,0)),"")</f>
        <v/>
      </c>
      <c r="H15" s="24"/>
      <c r="I15" s="25">
        <f>IFERROR(INDEX('Daily Sales'!$D$5:$D$30,MATCH(E15,'Daily Sales'!$A$5:$A$30,0)),0)</f>
        <v>0</v>
      </c>
      <c r="J15" s="50">
        <f t="shared" si="1"/>
        <v>0</v>
      </c>
      <c r="K15" s="25">
        <f>IFERROR(INDEX('Daily Sales'!$E$5:$E$30,MATCH(E15,'Daily Sales'!$A$5:$A$30,0)),0)</f>
        <v>0</v>
      </c>
      <c r="L15" s="50">
        <f t="shared" si="2"/>
        <v>0</v>
      </c>
      <c r="M15" s="48"/>
      <c r="N15" s="48"/>
      <c r="O15" s="48"/>
      <c r="P15" s="48"/>
    </row>
    <row r="16" spans="1:16" x14ac:dyDescent="0.3">
      <c r="A16" s="16" t="str">
        <f t="shared" si="0"/>
        <v/>
      </c>
      <c r="B16" s="47"/>
      <c r="C16" s="48"/>
      <c r="D16" s="48"/>
      <c r="E16" s="48"/>
      <c r="F16" s="49" t="str">
        <f>IFERROR(INDEX('Menu Master'!$B$4:$B$60,MATCH(E16,'Menu Master'!$A$4:$A$60,0)),"")</f>
        <v/>
      </c>
      <c r="G16" s="49" t="str">
        <f>IFERROR(INDEX('Menu Master'!$C$4:$C$60,MATCH(E16,'Menu Master'!$A$4:$A$60,0)),"")</f>
        <v/>
      </c>
      <c r="H16" s="24"/>
      <c r="I16" s="25">
        <f>IFERROR(INDEX('Daily Sales'!$D$5:$D$30,MATCH(E16,'Daily Sales'!$A$5:$A$30,0)),0)</f>
        <v>0</v>
      </c>
      <c r="J16" s="50">
        <f t="shared" si="1"/>
        <v>0</v>
      </c>
      <c r="K16" s="25">
        <f>IFERROR(INDEX('Daily Sales'!$E$5:$E$30,MATCH(E16,'Daily Sales'!$A$5:$A$30,0)),0)</f>
        <v>0</v>
      </c>
      <c r="L16" s="50">
        <f t="shared" si="2"/>
        <v>0</v>
      </c>
      <c r="M16" s="48"/>
      <c r="N16" s="48"/>
      <c r="O16" s="48"/>
      <c r="P16" s="48"/>
    </row>
    <row r="17" spans="1:16" x14ac:dyDescent="0.3">
      <c r="A17" s="16" t="str">
        <f t="shared" si="0"/>
        <v/>
      </c>
      <c r="B17" s="47"/>
      <c r="C17" s="48"/>
      <c r="D17" s="48"/>
      <c r="E17" s="48"/>
      <c r="F17" s="49" t="str">
        <f>IFERROR(INDEX('Menu Master'!$B$4:$B$60,MATCH(E17,'Menu Master'!$A$4:$A$60,0)),"")</f>
        <v/>
      </c>
      <c r="G17" s="49" t="str">
        <f>IFERROR(INDEX('Menu Master'!$C$4:$C$60,MATCH(E17,'Menu Master'!$A$4:$A$60,0)),"")</f>
        <v/>
      </c>
      <c r="H17" s="24"/>
      <c r="I17" s="25">
        <f>IFERROR(INDEX('Daily Sales'!$D$5:$D$30,MATCH(E17,'Daily Sales'!$A$5:$A$30,0)),0)</f>
        <v>0</v>
      </c>
      <c r="J17" s="50">
        <f t="shared" si="1"/>
        <v>0</v>
      </c>
      <c r="K17" s="25">
        <f>IFERROR(INDEX('Daily Sales'!$E$5:$E$30,MATCH(E17,'Daily Sales'!$A$5:$A$30,0)),0)</f>
        <v>0</v>
      </c>
      <c r="L17" s="50">
        <f t="shared" si="2"/>
        <v>0</v>
      </c>
      <c r="M17" s="48"/>
      <c r="N17" s="48"/>
      <c r="O17" s="48"/>
      <c r="P17" s="48"/>
    </row>
    <row r="18" spans="1:16" x14ac:dyDescent="0.3">
      <c r="A18" s="16" t="str">
        <f t="shared" si="0"/>
        <v/>
      </c>
      <c r="B18" s="47"/>
      <c r="C18" s="48"/>
      <c r="D18" s="48"/>
      <c r="E18" s="48"/>
      <c r="F18" s="49" t="str">
        <f>IFERROR(INDEX('Menu Master'!$B$4:$B$60,MATCH(E18,'Menu Master'!$A$4:$A$60,0)),"")</f>
        <v/>
      </c>
      <c r="G18" s="49" t="str">
        <f>IFERROR(INDEX('Menu Master'!$C$4:$C$60,MATCH(E18,'Menu Master'!$A$4:$A$60,0)),"")</f>
        <v/>
      </c>
      <c r="H18" s="24"/>
      <c r="I18" s="25">
        <f>IFERROR(INDEX('Daily Sales'!$D$5:$D$30,MATCH(E18,'Daily Sales'!$A$5:$A$30,0)),0)</f>
        <v>0</v>
      </c>
      <c r="J18" s="50">
        <f t="shared" si="1"/>
        <v>0</v>
      </c>
      <c r="K18" s="25">
        <f>IFERROR(INDEX('Daily Sales'!$E$5:$E$30,MATCH(E18,'Daily Sales'!$A$5:$A$30,0)),0)</f>
        <v>0</v>
      </c>
      <c r="L18" s="50">
        <f t="shared" si="2"/>
        <v>0</v>
      </c>
      <c r="M18" s="48"/>
      <c r="N18" s="48"/>
      <c r="O18" s="48"/>
      <c r="P18" s="48"/>
    </row>
    <row r="19" spans="1:16" x14ac:dyDescent="0.3">
      <c r="A19" s="16" t="str">
        <f t="shared" si="0"/>
        <v/>
      </c>
      <c r="B19" s="47"/>
      <c r="C19" s="48"/>
      <c r="D19" s="48"/>
      <c r="E19" s="48"/>
      <c r="F19" s="49" t="str">
        <f>IFERROR(INDEX('Menu Master'!$B$4:$B$60,MATCH(E19,'Menu Master'!$A$4:$A$60,0)),"")</f>
        <v/>
      </c>
      <c r="G19" s="49" t="str">
        <f>IFERROR(INDEX('Menu Master'!$C$4:$C$60,MATCH(E19,'Menu Master'!$A$4:$A$60,0)),"")</f>
        <v/>
      </c>
      <c r="H19" s="24"/>
      <c r="I19" s="25">
        <f>IFERROR(INDEX('Daily Sales'!$D$5:$D$30,MATCH(E19,'Daily Sales'!$A$5:$A$30,0)),0)</f>
        <v>0</v>
      </c>
      <c r="J19" s="50">
        <f t="shared" si="1"/>
        <v>0</v>
      </c>
      <c r="K19" s="25">
        <f>IFERROR(INDEX('Daily Sales'!$E$5:$E$30,MATCH(E19,'Daily Sales'!$A$5:$A$30,0)),0)</f>
        <v>0</v>
      </c>
      <c r="L19" s="50">
        <f t="shared" si="2"/>
        <v>0</v>
      </c>
      <c r="M19" s="48"/>
      <c r="N19" s="48"/>
      <c r="O19" s="48"/>
      <c r="P19" s="48"/>
    </row>
    <row r="20" spans="1:16" x14ac:dyDescent="0.3">
      <c r="A20" s="16" t="str">
        <f t="shared" si="0"/>
        <v/>
      </c>
      <c r="B20" s="47"/>
      <c r="C20" s="48"/>
      <c r="D20" s="48"/>
      <c r="E20" s="48"/>
      <c r="F20" s="49" t="str">
        <f>IFERROR(INDEX('Menu Master'!$B$4:$B$60,MATCH(E20,'Menu Master'!$A$4:$A$60,0)),"")</f>
        <v/>
      </c>
      <c r="G20" s="49" t="str">
        <f>IFERROR(INDEX('Menu Master'!$C$4:$C$60,MATCH(E20,'Menu Master'!$A$4:$A$60,0)),"")</f>
        <v/>
      </c>
      <c r="H20" s="24"/>
      <c r="I20" s="25">
        <f>IFERROR(INDEX('Daily Sales'!$D$5:$D$30,MATCH(E20,'Daily Sales'!$A$5:$A$30,0)),0)</f>
        <v>0</v>
      </c>
      <c r="J20" s="50">
        <f t="shared" si="1"/>
        <v>0</v>
      </c>
      <c r="K20" s="25">
        <f>IFERROR(INDEX('Daily Sales'!$E$5:$E$30,MATCH(E20,'Daily Sales'!$A$5:$A$30,0)),0)</f>
        <v>0</v>
      </c>
      <c r="L20" s="50">
        <f t="shared" si="2"/>
        <v>0</v>
      </c>
      <c r="M20" s="48"/>
      <c r="N20" s="48"/>
      <c r="O20" s="48"/>
      <c r="P20" s="48"/>
    </row>
    <row r="21" spans="1:16" x14ac:dyDescent="0.3">
      <c r="A21" s="16" t="str">
        <f t="shared" si="0"/>
        <v/>
      </c>
      <c r="B21" s="47"/>
      <c r="C21" s="48"/>
      <c r="D21" s="48"/>
      <c r="E21" s="48"/>
      <c r="F21" s="49" t="str">
        <f>IFERROR(INDEX('Menu Master'!$B$4:$B$60,MATCH(E21,'Menu Master'!$A$4:$A$60,0)),"")</f>
        <v/>
      </c>
      <c r="G21" s="49" t="str">
        <f>IFERROR(INDEX('Menu Master'!$C$4:$C$60,MATCH(E21,'Menu Master'!$A$4:$A$60,0)),"")</f>
        <v/>
      </c>
      <c r="H21" s="24"/>
      <c r="I21" s="25">
        <f>IFERROR(INDEX('Daily Sales'!$D$5:$D$30,MATCH(E21,'Daily Sales'!$A$5:$A$30,0)),0)</f>
        <v>0</v>
      </c>
      <c r="J21" s="50">
        <f t="shared" si="1"/>
        <v>0</v>
      </c>
      <c r="K21" s="25">
        <f>IFERROR(INDEX('Daily Sales'!$E$5:$E$30,MATCH(E21,'Daily Sales'!$A$5:$A$30,0)),0)</f>
        <v>0</v>
      </c>
      <c r="L21" s="50">
        <f t="shared" si="2"/>
        <v>0</v>
      </c>
      <c r="M21" s="48"/>
      <c r="N21" s="48"/>
      <c r="O21" s="48"/>
      <c r="P21" s="48"/>
    </row>
    <row r="22" spans="1:16" x14ac:dyDescent="0.3">
      <c r="A22" s="16" t="str">
        <f t="shared" si="0"/>
        <v/>
      </c>
      <c r="B22" s="47"/>
      <c r="C22" s="48"/>
      <c r="D22" s="48"/>
      <c r="E22" s="48"/>
      <c r="F22" s="49" t="str">
        <f>IFERROR(INDEX('Menu Master'!$B$4:$B$60,MATCH(E22,'Menu Master'!$A$4:$A$60,0)),"")</f>
        <v/>
      </c>
      <c r="G22" s="49" t="str">
        <f>IFERROR(INDEX('Menu Master'!$C$4:$C$60,MATCH(E22,'Menu Master'!$A$4:$A$60,0)),"")</f>
        <v/>
      </c>
      <c r="H22" s="24"/>
      <c r="I22" s="25">
        <f>IFERROR(INDEX('Daily Sales'!$D$5:$D$30,MATCH(E22,'Daily Sales'!$A$5:$A$30,0)),0)</f>
        <v>0</v>
      </c>
      <c r="J22" s="50">
        <f t="shared" si="1"/>
        <v>0</v>
      </c>
      <c r="K22" s="25">
        <f>IFERROR(INDEX('Daily Sales'!$E$5:$E$30,MATCH(E22,'Daily Sales'!$A$5:$A$30,0)),0)</f>
        <v>0</v>
      </c>
      <c r="L22" s="50">
        <f t="shared" si="2"/>
        <v>0</v>
      </c>
      <c r="M22" s="48"/>
      <c r="N22" s="48"/>
      <c r="O22" s="48"/>
      <c r="P22" s="48"/>
    </row>
    <row r="23" spans="1:16" x14ac:dyDescent="0.3">
      <c r="A23" s="16" t="str">
        <f t="shared" si="0"/>
        <v/>
      </c>
      <c r="B23" s="47"/>
      <c r="C23" s="48"/>
      <c r="D23" s="48"/>
      <c r="E23" s="48"/>
      <c r="F23" s="49" t="str">
        <f>IFERROR(INDEX('Menu Master'!$B$4:$B$60,MATCH(E23,'Menu Master'!$A$4:$A$60,0)),"")</f>
        <v/>
      </c>
      <c r="G23" s="49" t="str">
        <f>IFERROR(INDEX('Menu Master'!$C$4:$C$60,MATCH(E23,'Menu Master'!$A$4:$A$60,0)),"")</f>
        <v/>
      </c>
      <c r="H23" s="24"/>
      <c r="I23" s="25">
        <f>IFERROR(INDEX('Daily Sales'!$D$5:$D$30,MATCH(E23,'Daily Sales'!$A$5:$A$30,0)),0)</f>
        <v>0</v>
      </c>
      <c r="J23" s="50">
        <f t="shared" si="1"/>
        <v>0</v>
      </c>
      <c r="K23" s="25">
        <f>IFERROR(INDEX('Daily Sales'!$E$5:$E$30,MATCH(E23,'Daily Sales'!$A$5:$A$30,0)),0)</f>
        <v>0</v>
      </c>
      <c r="L23" s="50">
        <f t="shared" si="2"/>
        <v>0</v>
      </c>
      <c r="M23" s="48"/>
      <c r="N23" s="48"/>
      <c r="O23" s="48"/>
      <c r="P23" s="48"/>
    </row>
    <row r="24" spans="1:16" x14ac:dyDescent="0.3">
      <c r="A24" s="16" t="str">
        <f t="shared" si="0"/>
        <v/>
      </c>
      <c r="B24" s="47"/>
      <c r="C24" s="48"/>
      <c r="D24" s="48"/>
      <c r="E24" s="48"/>
      <c r="F24" s="49" t="str">
        <f>IFERROR(INDEX('Menu Master'!$B$4:$B$60,MATCH(E24,'Menu Master'!$A$4:$A$60,0)),"")</f>
        <v/>
      </c>
      <c r="G24" s="49" t="str">
        <f>IFERROR(INDEX('Menu Master'!$C$4:$C$60,MATCH(E24,'Menu Master'!$A$4:$A$60,0)),"")</f>
        <v/>
      </c>
      <c r="H24" s="24"/>
      <c r="I24" s="25">
        <f>IFERROR(INDEX('Daily Sales'!$D$5:$D$30,MATCH(E24,'Daily Sales'!$A$5:$A$30,0)),0)</f>
        <v>0</v>
      </c>
      <c r="J24" s="50">
        <f t="shared" si="1"/>
        <v>0</v>
      </c>
      <c r="K24" s="25">
        <f>IFERROR(INDEX('Daily Sales'!$E$5:$E$30,MATCH(E24,'Daily Sales'!$A$5:$A$30,0)),0)</f>
        <v>0</v>
      </c>
      <c r="L24" s="50">
        <f t="shared" si="2"/>
        <v>0</v>
      </c>
      <c r="M24" s="48"/>
      <c r="N24" s="48"/>
      <c r="O24" s="48"/>
      <c r="P24" s="48"/>
    </row>
    <row r="25" spans="1:16" x14ac:dyDescent="0.3">
      <c r="A25" s="16" t="str">
        <f t="shared" si="0"/>
        <v/>
      </c>
      <c r="B25" s="47"/>
      <c r="C25" s="48"/>
      <c r="D25" s="48"/>
      <c r="E25" s="48"/>
      <c r="F25" s="49" t="str">
        <f>IFERROR(INDEX('Menu Master'!$B$4:$B$60,MATCH(E25,'Menu Master'!$A$4:$A$60,0)),"")</f>
        <v/>
      </c>
      <c r="G25" s="49" t="str">
        <f>IFERROR(INDEX('Menu Master'!$C$4:$C$60,MATCH(E25,'Menu Master'!$A$4:$A$60,0)),"")</f>
        <v/>
      </c>
      <c r="H25" s="24"/>
      <c r="I25" s="25">
        <f>IFERROR(INDEX('Daily Sales'!$D$5:$D$30,MATCH(E25,'Daily Sales'!$A$5:$A$30,0)),0)</f>
        <v>0</v>
      </c>
      <c r="J25" s="50">
        <f t="shared" si="1"/>
        <v>0</v>
      </c>
      <c r="K25" s="25">
        <f>IFERROR(INDEX('Daily Sales'!$E$5:$E$30,MATCH(E25,'Daily Sales'!$A$5:$A$30,0)),0)</f>
        <v>0</v>
      </c>
      <c r="L25" s="50">
        <f t="shared" si="2"/>
        <v>0</v>
      </c>
      <c r="M25" s="48"/>
      <c r="N25" s="48"/>
      <c r="O25" s="48"/>
      <c r="P25" s="48"/>
    </row>
    <row r="26" spans="1:16" x14ac:dyDescent="0.3">
      <c r="A26" s="16" t="str">
        <f t="shared" si="0"/>
        <v/>
      </c>
      <c r="B26" s="47"/>
      <c r="C26" s="48"/>
      <c r="D26" s="48"/>
      <c r="E26" s="48"/>
      <c r="F26" s="49" t="str">
        <f>IFERROR(INDEX('Menu Master'!$B$4:$B$60,MATCH(E26,'Menu Master'!$A$4:$A$60,0)),"")</f>
        <v/>
      </c>
      <c r="G26" s="49" t="str">
        <f>IFERROR(INDEX('Menu Master'!$C$4:$C$60,MATCH(E26,'Menu Master'!$A$4:$A$60,0)),"")</f>
        <v/>
      </c>
      <c r="H26" s="24"/>
      <c r="I26" s="25">
        <f>IFERROR(INDEX('Daily Sales'!$D$5:$D$30,MATCH(E26,'Daily Sales'!$A$5:$A$30,0)),0)</f>
        <v>0</v>
      </c>
      <c r="J26" s="50">
        <f t="shared" si="1"/>
        <v>0</v>
      </c>
      <c r="K26" s="25">
        <f>IFERROR(INDEX('Daily Sales'!$E$5:$E$30,MATCH(E26,'Daily Sales'!$A$5:$A$30,0)),0)</f>
        <v>0</v>
      </c>
      <c r="L26" s="50">
        <f t="shared" si="2"/>
        <v>0</v>
      </c>
      <c r="M26" s="48"/>
      <c r="N26" s="48"/>
      <c r="O26" s="48"/>
      <c r="P26" s="48"/>
    </row>
    <row r="27" spans="1:16" x14ac:dyDescent="0.3">
      <c r="A27" s="16" t="str">
        <f t="shared" si="0"/>
        <v/>
      </c>
      <c r="B27" s="47"/>
      <c r="C27" s="48"/>
      <c r="D27" s="48"/>
      <c r="E27" s="48"/>
      <c r="F27" s="49" t="str">
        <f>IFERROR(INDEX('Menu Master'!$B$4:$B$60,MATCH(E27,'Menu Master'!$A$4:$A$60,0)),"")</f>
        <v/>
      </c>
      <c r="G27" s="49" t="str">
        <f>IFERROR(INDEX('Menu Master'!$C$4:$C$60,MATCH(E27,'Menu Master'!$A$4:$A$60,0)),"")</f>
        <v/>
      </c>
      <c r="H27" s="24"/>
      <c r="I27" s="25">
        <f>IFERROR(INDEX('Daily Sales'!$D$5:$D$30,MATCH(E27,'Daily Sales'!$A$5:$A$30,0)),0)</f>
        <v>0</v>
      </c>
      <c r="J27" s="50">
        <f t="shared" si="1"/>
        <v>0</v>
      </c>
      <c r="K27" s="25">
        <f>IFERROR(INDEX('Daily Sales'!$E$5:$E$30,MATCH(E27,'Daily Sales'!$A$5:$A$30,0)),0)</f>
        <v>0</v>
      </c>
      <c r="L27" s="50">
        <f t="shared" si="2"/>
        <v>0</v>
      </c>
      <c r="M27" s="48"/>
      <c r="N27" s="48"/>
      <c r="O27" s="48"/>
      <c r="P27" s="48"/>
    </row>
    <row r="28" spans="1:16" x14ac:dyDescent="0.3">
      <c r="A28" s="16" t="str">
        <f t="shared" si="0"/>
        <v/>
      </c>
      <c r="B28" s="47"/>
      <c r="C28" s="48"/>
      <c r="D28" s="48"/>
      <c r="E28" s="48"/>
      <c r="F28" s="49" t="str">
        <f>IFERROR(INDEX('Menu Master'!$B$4:$B$60,MATCH(E28,'Menu Master'!$A$4:$A$60,0)),"")</f>
        <v/>
      </c>
      <c r="G28" s="49" t="str">
        <f>IFERROR(INDEX('Menu Master'!$C$4:$C$60,MATCH(E28,'Menu Master'!$A$4:$A$60,0)),"")</f>
        <v/>
      </c>
      <c r="H28" s="24"/>
      <c r="I28" s="25">
        <f>IFERROR(INDEX('Daily Sales'!$D$5:$D$30,MATCH(E28,'Daily Sales'!$A$5:$A$30,0)),0)</f>
        <v>0</v>
      </c>
      <c r="J28" s="50">
        <f t="shared" si="1"/>
        <v>0</v>
      </c>
      <c r="K28" s="25">
        <f>IFERROR(INDEX('Daily Sales'!$E$5:$E$30,MATCH(E28,'Daily Sales'!$A$5:$A$30,0)),0)</f>
        <v>0</v>
      </c>
      <c r="L28" s="50">
        <f t="shared" si="2"/>
        <v>0</v>
      </c>
      <c r="M28" s="48"/>
      <c r="N28" s="48"/>
      <c r="O28" s="48"/>
      <c r="P28" s="48"/>
    </row>
    <row r="29" spans="1:16" x14ac:dyDescent="0.3">
      <c r="A29" s="16" t="str">
        <f t="shared" si="0"/>
        <v/>
      </c>
      <c r="B29" s="47"/>
      <c r="C29" s="48"/>
      <c r="D29" s="48"/>
      <c r="E29" s="48"/>
      <c r="F29" s="49" t="str">
        <f>IFERROR(INDEX('Menu Master'!$B$4:$B$60,MATCH(E29,'Menu Master'!$A$4:$A$60,0)),"")</f>
        <v/>
      </c>
      <c r="G29" s="49" t="str">
        <f>IFERROR(INDEX('Menu Master'!$C$4:$C$60,MATCH(E29,'Menu Master'!$A$4:$A$60,0)),"")</f>
        <v/>
      </c>
      <c r="H29" s="24"/>
      <c r="I29" s="25">
        <f>IFERROR(INDEX('Daily Sales'!$D$5:$D$30,MATCH(E29,'Daily Sales'!$A$5:$A$30,0)),0)</f>
        <v>0</v>
      </c>
      <c r="J29" s="50">
        <f t="shared" si="1"/>
        <v>0</v>
      </c>
      <c r="K29" s="25">
        <f>IFERROR(INDEX('Daily Sales'!$E$5:$E$30,MATCH(E29,'Daily Sales'!$A$5:$A$30,0)),0)</f>
        <v>0</v>
      </c>
      <c r="L29" s="50">
        <f t="shared" si="2"/>
        <v>0</v>
      </c>
      <c r="M29" s="48"/>
      <c r="N29" s="48"/>
      <c r="O29" s="48"/>
      <c r="P29" s="48"/>
    </row>
    <row r="30" spans="1:16" x14ac:dyDescent="0.3">
      <c r="A30" s="16" t="str">
        <f t="shared" si="0"/>
        <v/>
      </c>
      <c r="B30" s="47"/>
      <c r="C30" s="48"/>
      <c r="D30" s="48"/>
      <c r="E30" s="48"/>
      <c r="F30" s="49" t="str">
        <f>IFERROR(INDEX('Menu Master'!$B$4:$B$60,MATCH(E30,'Menu Master'!$A$4:$A$60,0)),"")</f>
        <v/>
      </c>
      <c r="G30" s="49" t="str">
        <f>IFERROR(INDEX('Menu Master'!$C$4:$C$60,MATCH(E30,'Menu Master'!$A$4:$A$60,0)),"")</f>
        <v/>
      </c>
      <c r="H30" s="24"/>
      <c r="I30" s="25">
        <f>IFERROR(INDEX('Daily Sales'!$D$5:$D$30,MATCH(E30,'Daily Sales'!$A$5:$A$30,0)),0)</f>
        <v>0</v>
      </c>
      <c r="J30" s="50">
        <f t="shared" si="1"/>
        <v>0</v>
      </c>
      <c r="K30" s="25">
        <f>IFERROR(INDEX('Daily Sales'!$E$5:$E$30,MATCH(E30,'Daily Sales'!$A$5:$A$30,0)),0)</f>
        <v>0</v>
      </c>
      <c r="L30" s="50">
        <f t="shared" si="2"/>
        <v>0</v>
      </c>
      <c r="M30" s="48"/>
      <c r="N30" s="48"/>
      <c r="O30" s="48"/>
      <c r="P30" s="48"/>
    </row>
    <row r="31" spans="1:16" x14ac:dyDescent="0.3">
      <c r="A31" s="16" t="str">
        <f t="shared" si="0"/>
        <v/>
      </c>
      <c r="B31" s="47"/>
      <c r="C31" s="48"/>
      <c r="D31" s="48"/>
      <c r="E31" s="48"/>
      <c r="F31" s="49" t="str">
        <f>IFERROR(INDEX('Menu Master'!$B$4:$B$60,MATCH(E31,'Menu Master'!$A$4:$A$60,0)),"")</f>
        <v/>
      </c>
      <c r="G31" s="49" t="str">
        <f>IFERROR(INDEX('Menu Master'!$C$4:$C$60,MATCH(E31,'Menu Master'!$A$4:$A$60,0)),"")</f>
        <v/>
      </c>
      <c r="H31" s="24"/>
      <c r="I31" s="25">
        <f>IFERROR(INDEX('Daily Sales'!$D$5:$D$30,MATCH(E31,'Daily Sales'!$A$5:$A$30,0)),0)</f>
        <v>0</v>
      </c>
      <c r="J31" s="50">
        <f t="shared" si="1"/>
        <v>0</v>
      </c>
      <c r="K31" s="25">
        <f>IFERROR(INDEX('Daily Sales'!$E$5:$E$30,MATCH(E31,'Daily Sales'!$A$5:$A$30,0)),0)</f>
        <v>0</v>
      </c>
      <c r="L31" s="50">
        <f t="shared" si="2"/>
        <v>0</v>
      </c>
      <c r="M31" s="48"/>
      <c r="N31" s="48"/>
      <c r="O31" s="48"/>
      <c r="P31" s="48"/>
    </row>
    <row r="32" spans="1:16" x14ac:dyDescent="0.3">
      <c r="A32" s="16" t="str">
        <f t="shared" si="0"/>
        <v/>
      </c>
      <c r="B32" s="47"/>
      <c r="C32" s="48"/>
      <c r="D32" s="48"/>
      <c r="E32" s="48"/>
      <c r="F32" s="49" t="str">
        <f>IFERROR(INDEX('Menu Master'!$B$4:$B$60,MATCH(E32,'Menu Master'!$A$4:$A$60,0)),"")</f>
        <v/>
      </c>
      <c r="G32" s="49" t="str">
        <f>IFERROR(INDEX('Menu Master'!$C$4:$C$60,MATCH(E32,'Menu Master'!$A$4:$A$60,0)),"")</f>
        <v/>
      </c>
      <c r="H32" s="24"/>
      <c r="I32" s="25">
        <f>IFERROR(INDEX('Daily Sales'!$D$5:$D$30,MATCH(E32,'Daily Sales'!$A$5:$A$30,0)),0)</f>
        <v>0</v>
      </c>
      <c r="J32" s="50">
        <f t="shared" si="1"/>
        <v>0</v>
      </c>
      <c r="K32" s="25">
        <f>IFERROR(INDEX('Daily Sales'!$E$5:$E$30,MATCH(E32,'Daily Sales'!$A$5:$A$30,0)),0)</f>
        <v>0</v>
      </c>
      <c r="L32" s="50">
        <f t="shared" si="2"/>
        <v>0</v>
      </c>
      <c r="M32" s="48"/>
      <c r="N32" s="48"/>
      <c r="O32" s="48"/>
      <c r="P32" s="48"/>
    </row>
    <row r="33" spans="1:16" x14ac:dyDescent="0.3">
      <c r="A33" s="16" t="str">
        <f t="shared" si="0"/>
        <v/>
      </c>
      <c r="B33" s="47"/>
      <c r="C33" s="48"/>
      <c r="D33" s="48"/>
      <c r="E33" s="48"/>
      <c r="F33" s="49" t="str">
        <f>IFERROR(INDEX('Menu Master'!$B$4:$B$60,MATCH(E33,'Menu Master'!$A$4:$A$60,0)),"")</f>
        <v/>
      </c>
      <c r="G33" s="49" t="str">
        <f>IFERROR(INDEX('Menu Master'!$C$4:$C$60,MATCH(E33,'Menu Master'!$A$4:$A$60,0)),"")</f>
        <v/>
      </c>
      <c r="H33" s="24"/>
      <c r="I33" s="25">
        <f>IFERROR(INDEX('Daily Sales'!$D$5:$D$30,MATCH(E33,'Daily Sales'!$A$5:$A$30,0)),0)</f>
        <v>0</v>
      </c>
      <c r="J33" s="50">
        <f t="shared" si="1"/>
        <v>0</v>
      </c>
      <c r="K33" s="25">
        <f>IFERROR(INDEX('Daily Sales'!$E$5:$E$30,MATCH(E33,'Daily Sales'!$A$5:$A$30,0)),0)</f>
        <v>0</v>
      </c>
      <c r="L33" s="50">
        <f t="shared" si="2"/>
        <v>0</v>
      </c>
      <c r="M33" s="48"/>
      <c r="N33" s="48"/>
      <c r="O33" s="48"/>
      <c r="P33" s="48"/>
    </row>
    <row r="34" spans="1:16" x14ac:dyDescent="0.3">
      <c r="A34" s="16" t="str">
        <f t="shared" si="0"/>
        <v/>
      </c>
      <c r="B34" s="47"/>
      <c r="C34" s="48"/>
      <c r="D34" s="48"/>
      <c r="E34" s="48"/>
      <c r="F34" s="49" t="str">
        <f>IFERROR(INDEX('Menu Master'!$B$4:$B$60,MATCH(E34,'Menu Master'!$A$4:$A$60,0)),"")</f>
        <v/>
      </c>
      <c r="G34" s="49" t="str">
        <f>IFERROR(INDEX('Menu Master'!$C$4:$C$60,MATCH(E34,'Menu Master'!$A$4:$A$60,0)),"")</f>
        <v/>
      </c>
      <c r="H34" s="24"/>
      <c r="I34" s="25">
        <f>IFERROR(INDEX('Daily Sales'!$D$5:$D$30,MATCH(E34,'Daily Sales'!$A$5:$A$30,0)),0)</f>
        <v>0</v>
      </c>
      <c r="J34" s="50">
        <f t="shared" si="1"/>
        <v>0</v>
      </c>
      <c r="K34" s="25">
        <f>IFERROR(INDEX('Daily Sales'!$E$5:$E$30,MATCH(E34,'Daily Sales'!$A$5:$A$30,0)),0)</f>
        <v>0</v>
      </c>
      <c r="L34" s="50">
        <f t="shared" si="2"/>
        <v>0</v>
      </c>
      <c r="M34" s="48"/>
      <c r="N34" s="48"/>
      <c r="O34" s="48"/>
      <c r="P34" s="48"/>
    </row>
    <row r="35" spans="1:16" x14ac:dyDescent="0.3">
      <c r="A35" s="16" t="str">
        <f t="shared" si="0"/>
        <v/>
      </c>
      <c r="B35" s="47"/>
      <c r="C35" s="48"/>
      <c r="D35" s="48"/>
      <c r="E35" s="48"/>
      <c r="F35" s="49" t="str">
        <f>IFERROR(INDEX('Menu Master'!$B$4:$B$60,MATCH(E35,'Menu Master'!$A$4:$A$60,0)),"")</f>
        <v/>
      </c>
      <c r="G35" s="49" t="str">
        <f>IFERROR(INDEX('Menu Master'!$C$4:$C$60,MATCH(E35,'Menu Master'!$A$4:$A$60,0)),"")</f>
        <v/>
      </c>
      <c r="H35" s="24"/>
      <c r="I35" s="25">
        <f>IFERROR(INDEX('Daily Sales'!$D$5:$D$30,MATCH(E35,'Daily Sales'!$A$5:$A$30,0)),0)</f>
        <v>0</v>
      </c>
      <c r="J35" s="50">
        <f t="shared" si="1"/>
        <v>0</v>
      </c>
      <c r="K35" s="25">
        <f>IFERROR(INDEX('Daily Sales'!$E$5:$E$30,MATCH(E35,'Daily Sales'!$A$5:$A$30,0)),0)</f>
        <v>0</v>
      </c>
      <c r="L35" s="50">
        <f t="shared" si="2"/>
        <v>0</v>
      </c>
      <c r="M35" s="48"/>
      <c r="N35" s="48"/>
      <c r="O35" s="48"/>
      <c r="P35" s="48"/>
    </row>
    <row r="36" spans="1:16" x14ac:dyDescent="0.3">
      <c r="A36" s="16" t="str">
        <f t="shared" si="0"/>
        <v/>
      </c>
      <c r="B36" s="47"/>
      <c r="C36" s="48"/>
      <c r="D36" s="48"/>
      <c r="E36" s="48"/>
      <c r="F36" s="49" t="str">
        <f>IFERROR(INDEX('Menu Master'!$B$4:$B$60,MATCH(E36,'Menu Master'!$A$4:$A$60,0)),"")</f>
        <v/>
      </c>
      <c r="G36" s="49" t="str">
        <f>IFERROR(INDEX('Menu Master'!$C$4:$C$60,MATCH(E36,'Menu Master'!$A$4:$A$60,0)),"")</f>
        <v/>
      </c>
      <c r="H36" s="24"/>
      <c r="I36" s="25">
        <f>IFERROR(INDEX('Daily Sales'!$D$5:$D$30,MATCH(E36,'Daily Sales'!$A$5:$A$30,0)),0)</f>
        <v>0</v>
      </c>
      <c r="J36" s="50">
        <f t="shared" si="1"/>
        <v>0</v>
      </c>
      <c r="K36" s="25">
        <f>IFERROR(INDEX('Daily Sales'!$E$5:$E$30,MATCH(E36,'Daily Sales'!$A$5:$A$30,0)),0)</f>
        <v>0</v>
      </c>
      <c r="L36" s="50">
        <f t="shared" si="2"/>
        <v>0</v>
      </c>
      <c r="M36" s="48"/>
      <c r="N36" s="48"/>
      <c r="O36" s="48"/>
      <c r="P36" s="48"/>
    </row>
    <row r="37" spans="1:16" x14ac:dyDescent="0.3">
      <c r="A37" s="16" t="str">
        <f t="shared" si="0"/>
        <v/>
      </c>
      <c r="B37" s="47"/>
      <c r="C37" s="48"/>
      <c r="D37" s="48"/>
      <c r="E37" s="48"/>
      <c r="F37" s="49" t="str">
        <f>IFERROR(INDEX('Menu Master'!$B$4:$B$60,MATCH(E37,'Menu Master'!$A$4:$A$60,0)),"")</f>
        <v/>
      </c>
      <c r="G37" s="49" t="str">
        <f>IFERROR(INDEX('Menu Master'!$C$4:$C$60,MATCH(E37,'Menu Master'!$A$4:$A$60,0)),"")</f>
        <v/>
      </c>
      <c r="H37" s="24"/>
      <c r="I37" s="25">
        <f>IFERROR(INDEX('Daily Sales'!$D$5:$D$30,MATCH(E37,'Daily Sales'!$A$5:$A$30,0)),0)</f>
        <v>0</v>
      </c>
      <c r="J37" s="50">
        <f t="shared" si="1"/>
        <v>0</v>
      </c>
      <c r="K37" s="25">
        <f>IFERROR(INDEX('Daily Sales'!$E$5:$E$30,MATCH(E37,'Daily Sales'!$A$5:$A$30,0)),0)</f>
        <v>0</v>
      </c>
      <c r="L37" s="50">
        <f t="shared" si="2"/>
        <v>0</v>
      </c>
      <c r="M37" s="48"/>
      <c r="N37" s="48"/>
      <c r="O37" s="48"/>
      <c r="P37" s="48"/>
    </row>
    <row r="38" spans="1:16" x14ac:dyDescent="0.3">
      <c r="A38" s="16" t="str">
        <f t="shared" si="0"/>
        <v/>
      </c>
      <c r="B38" s="47"/>
      <c r="C38" s="48"/>
      <c r="D38" s="48"/>
      <c r="E38" s="48"/>
      <c r="F38" s="49" t="str">
        <f>IFERROR(INDEX('Menu Master'!$B$4:$B$60,MATCH(E38,'Menu Master'!$A$4:$A$60,0)),"")</f>
        <v/>
      </c>
      <c r="G38" s="49" t="str">
        <f>IFERROR(INDEX('Menu Master'!$C$4:$C$60,MATCH(E38,'Menu Master'!$A$4:$A$60,0)),"")</f>
        <v/>
      </c>
      <c r="H38" s="24"/>
      <c r="I38" s="25">
        <f>IFERROR(INDEX('Daily Sales'!$D$5:$D$30,MATCH(E38,'Daily Sales'!$A$5:$A$30,0)),0)</f>
        <v>0</v>
      </c>
      <c r="J38" s="50">
        <f t="shared" si="1"/>
        <v>0</v>
      </c>
      <c r="K38" s="25">
        <f>IFERROR(INDEX('Daily Sales'!$E$5:$E$30,MATCH(E38,'Daily Sales'!$A$5:$A$30,0)),0)</f>
        <v>0</v>
      </c>
      <c r="L38" s="50">
        <f t="shared" si="2"/>
        <v>0</v>
      </c>
      <c r="M38" s="48"/>
      <c r="N38" s="48"/>
      <c r="O38" s="48"/>
      <c r="P38" s="48"/>
    </row>
    <row r="39" spans="1:16" x14ac:dyDescent="0.3">
      <c r="A39" s="16" t="str">
        <f t="shared" si="0"/>
        <v/>
      </c>
      <c r="B39" s="47"/>
      <c r="C39" s="48"/>
      <c r="D39" s="48"/>
      <c r="E39" s="48"/>
      <c r="F39" s="49" t="str">
        <f>IFERROR(INDEX('Menu Master'!$B$4:$B$60,MATCH(E39,'Menu Master'!$A$4:$A$60,0)),"")</f>
        <v/>
      </c>
      <c r="G39" s="49" t="str">
        <f>IFERROR(INDEX('Menu Master'!$C$4:$C$60,MATCH(E39,'Menu Master'!$A$4:$A$60,0)),"")</f>
        <v/>
      </c>
      <c r="H39" s="24"/>
      <c r="I39" s="25">
        <f>IFERROR(INDEX('Daily Sales'!$D$5:$D$30,MATCH(E39,'Daily Sales'!$A$5:$A$30,0)),0)</f>
        <v>0</v>
      </c>
      <c r="J39" s="50">
        <f t="shared" si="1"/>
        <v>0</v>
      </c>
      <c r="K39" s="25">
        <f>IFERROR(INDEX('Daily Sales'!$E$5:$E$30,MATCH(E39,'Daily Sales'!$A$5:$A$30,0)),0)</f>
        <v>0</v>
      </c>
      <c r="L39" s="50">
        <f t="shared" si="2"/>
        <v>0</v>
      </c>
      <c r="M39" s="48"/>
      <c r="N39" s="48"/>
      <c r="O39" s="48"/>
      <c r="P39" s="48"/>
    </row>
    <row r="40" spans="1:16" x14ac:dyDescent="0.3">
      <c r="A40" s="16" t="str">
        <f t="shared" si="0"/>
        <v/>
      </c>
      <c r="B40" s="47"/>
      <c r="C40" s="48"/>
      <c r="D40" s="48"/>
      <c r="E40" s="48"/>
      <c r="F40" s="49" t="str">
        <f>IFERROR(INDEX('Menu Master'!$B$4:$B$60,MATCH(E40,'Menu Master'!$A$4:$A$60,0)),"")</f>
        <v/>
      </c>
      <c r="G40" s="49" t="str">
        <f>IFERROR(INDEX('Menu Master'!$C$4:$C$60,MATCH(E40,'Menu Master'!$A$4:$A$60,0)),"")</f>
        <v/>
      </c>
      <c r="H40" s="24"/>
      <c r="I40" s="25">
        <f>IFERROR(INDEX('Daily Sales'!$D$5:$D$30,MATCH(E40,'Daily Sales'!$A$5:$A$30,0)),0)</f>
        <v>0</v>
      </c>
      <c r="J40" s="50">
        <f t="shared" si="1"/>
        <v>0</v>
      </c>
      <c r="K40" s="25">
        <f>IFERROR(INDEX('Daily Sales'!$E$5:$E$30,MATCH(E40,'Daily Sales'!$A$5:$A$30,0)),0)</f>
        <v>0</v>
      </c>
      <c r="L40" s="50">
        <f t="shared" si="2"/>
        <v>0</v>
      </c>
      <c r="M40" s="48"/>
      <c r="N40" s="48"/>
      <c r="O40" s="48"/>
      <c r="P40" s="48"/>
    </row>
    <row r="41" spans="1:16" x14ac:dyDescent="0.3">
      <c r="A41" s="16" t="str">
        <f t="shared" si="0"/>
        <v/>
      </c>
      <c r="B41" s="47"/>
      <c r="C41" s="48"/>
      <c r="D41" s="48"/>
      <c r="E41" s="48"/>
      <c r="F41" s="49" t="str">
        <f>IFERROR(INDEX('Menu Master'!$B$4:$B$60,MATCH(E41,'Menu Master'!$A$4:$A$60,0)),"")</f>
        <v/>
      </c>
      <c r="G41" s="49" t="str">
        <f>IFERROR(INDEX('Menu Master'!$C$4:$C$60,MATCH(E41,'Menu Master'!$A$4:$A$60,0)),"")</f>
        <v/>
      </c>
      <c r="H41" s="24"/>
      <c r="I41" s="25">
        <f>IFERROR(INDEX('Daily Sales'!$D$5:$D$30,MATCH(E41,'Daily Sales'!$A$5:$A$30,0)),0)</f>
        <v>0</v>
      </c>
      <c r="J41" s="50">
        <f t="shared" si="1"/>
        <v>0</v>
      </c>
      <c r="K41" s="25">
        <f>IFERROR(INDEX('Daily Sales'!$E$5:$E$30,MATCH(E41,'Daily Sales'!$A$5:$A$30,0)),0)</f>
        <v>0</v>
      </c>
      <c r="L41" s="50">
        <f t="shared" si="2"/>
        <v>0</v>
      </c>
      <c r="M41" s="48"/>
      <c r="N41" s="48"/>
      <c r="O41" s="48"/>
      <c r="P41" s="48"/>
    </row>
    <row r="42" spans="1:16" x14ac:dyDescent="0.3">
      <c r="A42" s="16" t="str">
        <f t="shared" si="0"/>
        <v/>
      </c>
      <c r="B42" s="47"/>
      <c r="C42" s="48"/>
      <c r="D42" s="48"/>
      <c r="E42" s="48"/>
      <c r="F42" s="49" t="str">
        <f>IFERROR(INDEX('Menu Master'!$B$4:$B$60,MATCH(E42,'Menu Master'!$A$4:$A$60,0)),"")</f>
        <v/>
      </c>
      <c r="G42" s="49" t="str">
        <f>IFERROR(INDEX('Menu Master'!$C$4:$C$60,MATCH(E42,'Menu Master'!$A$4:$A$60,0)),"")</f>
        <v/>
      </c>
      <c r="H42" s="24"/>
      <c r="I42" s="25">
        <f>IFERROR(INDEX('Daily Sales'!$D$5:$D$30,MATCH(E42,'Daily Sales'!$A$5:$A$30,0)),0)</f>
        <v>0</v>
      </c>
      <c r="J42" s="50">
        <f t="shared" si="1"/>
        <v>0</v>
      </c>
      <c r="K42" s="25">
        <f>IFERROR(INDEX('Daily Sales'!$E$5:$E$30,MATCH(E42,'Daily Sales'!$A$5:$A$30,0)),0)</f>
        <v>0</v>
      </c>
      <c r="L42" s="50">
        <f t="shared" si="2"/>
        <v>0</v>
      </c>
      <c r="M42" s="48"/>
      <c r="N42" s="48"/>
      <c r="O42" s="48"/>
      <c r="P42" s="48"/>
    </row>
    <row r="43" spans="1:16" x14ac:dyDescent="0.3">
      <c r="A43" s="16" t="str">
        <f t="shared" si="0"/>
        <v/>
      </c>
      <c r="B43" s="47"/>
      <c r="C43" s="48"/>
      <c r="D43" s="48"/>
      <c r="E43" s="48"/>
      <c r="F43" s="49" t="str">
        <f>IFERROR(INDEX('Menu Master'!$B$4:$B$60,MATCH(E43,'Menu Master'!$A$4:$A$60,0)),"")</f>
        <v/>
      </c>
      <c r="G43" s="49" t="str">
        <f>IFERROR(INDEX('Menu Master'!$C$4:$C$60,MATCH(E43,'Menu Master'!$A$4:$A$60,0)),"")</f>
        <v/>
      </c>
      <c r="H43" s="24"/>
      <c r="I43" s="25">
        <f>IFERROR(INDEX('Daily Sales'!$D$5:$D$30,MATCH(E43,'Daily Sales'!$A$5:$A$30,0)),0)</f>
        <v>0</v>
      </c>
      <c r="J43" s="50">
        <f t="shared" si="1"/>
        <v>0</v>
      </c>
      <c r="K43" s="25">
        <f>IFERROR(INDEX('Daily Sales'!$E$5:$E$30,MATCH(E43,'Daily Sales'!$A$5:$A$30,0)),0)</f>
        <v>0</v>
      </c>
      <c r="L43" s="50">
        <f t="shared" si="2"/>
        <v>0</v>
      </c>
      <c r="M43" s="48"/>
      <c r="N43" s="48"/>
      <c r="O43" s="48"/>
      <c r="P43" s="48"/>
    </row>
    <row r="44" spans="1:16" x14ac:dyDescent="0.3">
      <c r="A44" s="16" t="str">
        <f t="shared" si="0"/>
        <v/>
      </c>
      <c r="B44" s="47"/>
      <c r="C44" s="48"/>
      <c r="D44" s="48"/>
      <c r="E44" s="48"/>
      <c r="F44" s="49" t="str">
        <f>IFERROR(INDEX('Menu Master'!$B$4:$B$60,MATCH(E44,'Menu Master'!$A$4:$A$60,0)),"")</f>
        <v/>
      </c>
      <c r="G44" s="49" t="str">
        <f>IFERROR(INDEX('Menu Master'!$C$4:$C$60,MATCH(E44,'Menu Master'!$A$4:$A$60,0)),"")</f>
        <v/>
      </c>
      <c r="H44" s="24"/>
      <c r="I44" s="25">
        <f>IFERROR(INDEX('Daily Sales'!$D$5:$D$30,MATCH(E44,'Daily Sales'!$A$5:$A$30,0)),0)</f>
        <v>0</v>
      </c>
      <c r="J44" s="50">
        <f t="shared" si="1"/>
        <v>0</v>
      </c>
      <c r="K44" s="25">
        <f>IFERROR(INDEX('Daily Sales'!$E$5:$E$30,MATCH(E44,'Daily Sales'!$A$5:$A$30,0)),0)</f>
        <v>0</v>
      </c>
      <c r="L44" s="50">
        <f t="shared" si="2"/>
        <v>0</v>
      </c>
      <c r="M44" s="48"/>
      <c r="N44" s="48"/>
      <c r="O44" s="48"/>
      <c r="P44" s="48"/>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00020"/>
  </sheetPr>
  <dimension ref="A1:J44"/>
  <sheetViews>
    <sheetView showGridLines="0" zoomScaleNormal="100" workbookViewId="0">
      <pane ySplit="4" topLeftCell="A5" activePane="bottomLeft" state="frozen"/>
      <selection pane="bottomLeft" activeCell="C8" sqref="C8"/>
    </sheetView>
  </sheetViews>
  <sheetFormatPr defaultColWidth="8.6640625" defaultRowHeight="14.4" x14ac:dyDescent="0.3"/>
  <cols>
    <col min="1" max="1" width="10" customWidth="1"/>
    <col min="2" max="2" width="11" customWidth="1"/>
    <col min="3" max="3" width="10" customWidth="1"/>
    <col min="4" max="4" width="26" customWidth="1"/>
    <col min="5" max="5" width="12" customWidth="1"/>
    <col min="6" max="6" width="8" customWidth="1"/>
    <col min="7" max="7" width="10" customWidth="1"/>
    <col min="8" max="8" width="11" customWidth="1"/>
    <col min="9" max="9" width="14" customWidth="1"/>
    <col min="10" max="10" width="18" customWidth="1"/>
  </cols>
  <sheetData>
    <row r="1" spans="1:10" ht="25.5" customHeight="1" x14ac:dyDescent="0.3">
      <c r="A1" s="14" t="s">
        <v>612</v>
      </c>
      <c r="B1" s="14"/>
      <c r="C1" s="14"/>
      <c r="D1" s="14"/>
      <c r="E1" s="14"/>
      <c r="F1" s="14"/>
      <c r="G1" s="14"/>
      <c r="H1" s="14"/>
      <c r="I1" s="14"/>
      <c r="J1" s="14"/>
    </row>
    <row r="2" spans="1:10" x14ac:dyDescent="0.3">
      <c r="A2" s="13" t="s">
        <v>613</v>
      </c>
      <c r="B2" s="13"/>
      <c r="C2" s="13"/>
      <c r="D2" s="13"/>
      <c r="E2" s="13"/>
      <c r="F2" s="13"/>
      <c r="G2" s="13"/>
      <c r="H2" s="13"/>
      <c r="I2" s="13"/>
      <c r="J2" s="13"/>
    </row>
    <row r="4" spans="1:10" ht="30" customHeight="1" x14ac:dyDescent="0.3">
      <c r="A4" s="15" t="s">
        <v>614</v>
      </c>
      <c r="B4" s="15" t="s">
        <v>558</v>
      </c>
      <c r="C4" s="15" t="s">
        <v>559</v>
      </c>
      <c r="D4" s="15" t="s">
        <v>615</v>
      </c>
      <c r="E4" s="15" t="s">
        <v>30</v>
      </c>
      <c r="F4" s="15" t="s">
        <v>586</v>
      </c>
      <c r="G4" s="15" t="s">
        <v>616</v>
      </c>
      <c r="H4" s="15" t="s">
        <v>617</v>
      </c>
      <c r="I4" s="15" t="s">
        <v>592</v>
      </c>
      <c r="J4" s="15" t="s">
        <v>593</v>
      </c>
    </row>
    <row r="5" spans="1:10" x14ac:dyDescent="0.3">
      <c r="A5" s="16" t="str">
        <f t="shared" ref="A5:A44" si="0">IF(C5="","","SM-"&amp;TEXT(ROW()-4,"000"))</f>
        <v>SM-001</v>
      </c>
      <c r="B5" s="47">
        <v>46205</v>
      </c>
      <c r="C5" s="48" t="s">
        <v>103</v>
      </c>
      <c r="D5" s="48" t="s">
        <v>104</v>
      </c>
      <c r="E5" s="48" t="s">
        <v>199</v>
      </c>
      <c r="F5" s="24">
        <v>2</v>
      </c>
      <c r="G5" s="25">
        <f>IFERROR(INDEX('Item Master'!$E$4:$E$41,MATCH(C5,'Item Master'!$A$4:$A$41,0)),0)</f>
        <v>480</v>
      </c>
      <c r="H5" s="50">
        <f t="shared" ref="H5:H44" si="1">F5*G5</f>
        <v>960</v>
      </c>
      <c r="I5" s="48" t="s">
        <v>572</v>
      </c>
      <c r="J5" s="48" t="s">
        <v>618</v>
      </c>
    </row>
    <row r="6" spans="1:10" x14ac:dyDescent="0.3">
      <c r="A6" s="16" t="str">
        <f t="shared" si="0"/>
        <v>SM-002</v>
      </c>
      <c r="B6" s="47">
        <v>46206</v>
      </c>
      <c r="C6" s="48" t="s">
        <v>125</v>
      </c>
      <c r="D6" s="48" t="s">
        <v>126</v>
      </c>
      <c r="E6" s="48" t="s">
        <v>199</v>
      </c>
      <c r="F6" s="24">
        <v>1.5</v>
      </c>
      <c r="G6" s="25">
        <f>IFERROR(INDEX('Item Master'!$E$4:$E$41,MATCH(C6,'Item Master'!$A$4:$A$41,0)),0)</f>
        <v>120</v>
      </c>
      <c r="H6" s="50">
        <f t="shared" si="1"/>
        <v>180</v>
      </c>
      <c r="I6" s="48" t="s">
        <v>572</v>
      </c>
      <c r="J6" s="48" t="s">
        <v>618</v>
      </c>
    </row>
    <row r="7" spans="1:10" x14ac:dyDescent="0.3">
      <c r="A7" s="16" t="str">
        <f t="shared" si="0"/>
        <v>SM-003</v>
      </c>
      <c r="B7" s="47">
        <v>46207</v>
      </c>
      <c r="C7" s="48" t="s">
        <v>123</v>
      </c>
      <c r="D7" s="48" t="s">
        <v>124</v>
      </c>
      <c r="E7" s="48" t="s">
        <v>199</v>
      </c>
      <c r="F7" s="24">
        <v>6</v>
      </c>
      <c r="G7" s="25">
        <f>IFERROR(INDEX('Item Master'!$E$4:$E$41,MATCH(C7,'Item Master'!$A$4:$A$41,0)),0)</f>
        <v>8</v>
      </c>
      <c r="H7" s="50">
        <f t="shared" si="1"/>
        <v>48</v>
      </c>
      <c r="I7" s="48" t="s">
        <v>572</v>
      </c>
      <c r="J7" s="48" t="s">
        <v>619</v>
      </c>
    </row>
    <row r="8" spans="1:10" x14ac:dyDescent="0.3">
      <c r="A8" s="16" t="str">
        <f t="shared" si="0"/>
        <v/>
      </c>
      <c r="B8" s="47"/>
      <c r="C8" s="48"/>
      <c r="D8" s="48"/>
      <c r="E8" s="48"/>
      <c r="F8" s="24"/>
      <c r="G8" s="25">
        <f>IFERROR(INDEX('Item Master'!$E$4:$E$41,MATCH(C8,'Item Master'!$A$4:$A$41,0)),0)</f>
        <v>0</v>
      </c>
      <c r="H8" s="50">
        <f t="shared" si="1"/>
        <v>0</v>
      </c>
      <c r="I8" s="48"/>
      <c r="J8" s="48"/>
    </row>
    <row r="9" spans="1:10" x14ac:dyDescent="0.3">
      <c r="A9" s="16" t="str">
        <f t="shared" si="0"/>
        <v/>
      </c>
      <c r="B9" s="47"/>
      <c r="C9" s="48"/>
      <c r="D9" s="48"/>
      <c r="E9" s="48"/>
      <c r="F9" s="24"/>
      <c r="G9" s="25">
        <f>IFERROR(INDEX('Item Master'!$E$4:$E$41,MATCH(C9,'Item Master'!$A$4:$A$41,0)),0)</f>
        <v>0</v>
      </c>
      <c r="H9" s="50">
        <f t="shared" si="1"/>
        <v>0</v>
      </c>
      <c r="I9" s="48"/>
      <c r="J9" s="48"/>
    </row>
    <row r="10" spans="1:10" x14ac:dyDescent="0.3">
      <c r="A10" s="16" t="str">
        <f t="shared" si="0"/>
        <v/>
      </c>
      <c r="B10" s="47"/>
      <c r="C10" s="48"/>
      <c r="D10" s="48"/>
      <c r="E10" s="48"/>
      <c r="F10" s="24"/>
      <c r="G10" s="25">
        <f>IFERROR(INDEX('Item Master'!$E$4:$E$41,MATCH(C10,'Item Master'!$A$4:$A$41,0)),0)</f>
        <v>0</v>
      </c>
      <c r="H10" s="50">
        <f t="shared" si="1"/>
        <v>0</v>
      </c>
      <c r="I10" s="48"/>
      <c r="J10" s="48"/>
    </row>
    <row r="11" spans="1:10" x14ac:dyDescent="0.3">
      <c r="A11" s="16" t="str">
        <f t="shared" si="0"/>
        <v/>
      </c>
      <c r="B11" s="47"/>
      <c r="C11" s="48"/>
      <c r="D11" s="48"/>
      <c r="E11" s="48"/>
      <c r="F11" s="24"/>
      <c r="G11" s="25">
        <f>IFERROR(INDEX('Item Master'!$E$4:$E$41,MATCH(C11,'Item Master'!$A$4:$A$41,0)),0)</f>
        <v>0</v>
      </c>
      <c r="H11" s="50">
        <f t="shared" si="1"/>
        <v>0</v>
      </c>
      <c r="I11" s="48"/>
      <c r="J11" s="48"/>
    </row>
    <row r="12" spans="1:10" x14ac:dyDescent="0.3">
      <c r="A12" s="16" t="str">
        <f t="shared" si="0"/>
        <v/>
      </c>
      <c r="B12" s="47"/>
      <c r="C12" s="48"/>
      <c r="D12" s="48"/>
      <c r="E12" s="48"/>
      <c r="F12" s="24"/>
      <c r="G12" s="25">
        <f>IFERROR(INDEX('Item Master'!$E$4:$E$41,MATCH(C12,'Item Master'!$A$4:$A$41,0)),0)</f>
        <v>0</v>
      </c>
      <c r="H12" s="50">
        <f t="shared" si="1"/>
        <v>0</v>
      </c>
      <c r="I12" s="48"/>
      <c r="J12" s="48"/>
    </row>
    <row r="13" spans="1:10" x14ac:dyDescent="0.3">
      <c r="A13" s="16" t="str">
        <f t="shared" si="0"/>
        <v/>
      </c>
      <c r="B13" s="47"/>
      <c r="C13" s="48"/>
      <c r="D13" s="48"/>
      <c r="E13" s="48"/>
      <c r="F13" s="24"/>
      <c r="G13" s="25">
        <f>IFERROR(INDEX('Item Master'!$E$4:$E$41,MATCH(C13,'Item Master'!$A$4:$A$41,0)),0)</f>
        <v>0</v>
      </c>
      <c r="H13" s="50">
        <f t="shared" si="1"/>
        <v>0</v>
      </c>
      <c r="I13" s="48"/>
      <c r="J13" s="48"/>
    </row>
    <row r="14" spans="1:10" x14ac:dyDescent="0.3">
      <c r="A14" s="16" t="str">
        <f t="shared" si="0"/>
        <v/>
      </c>
      <c r="B14" s="47"/>
      <c r="C14" s="48"/>
      <c r="D14" s="48"/>
      <c r="E14" s="48"/>
      <c r="F14" s="24"/>
      <c r="G14" s="25">
        <f>IFERROR(INDEX('Item Master'!$E$4:$E$41,MATCH(C14,'Item Master'!$A$4:$A$41,0)),0)</f>
        <v>0</v>
      </c>
      <c r="H14" s="50">
        <f t="shared" si="1"/>
        <v>0</v>
      </c>
      <c r="I14" s="48"/>
      <c r="J14" s="48"/>
    </row>
    <row r="15" spans="1:10" x14ac:dyDescent="0.3">
      <c r="A15" s="16" t="str">
        <f t="shared" si="0"/>
        <v/>
      </c>
      <c r="B15" s="47"/>
      <c r="C15" s="48"/>
      <c r="D15" s="48"/>
      <c r="E15" s="48"/>
      <c r="F15" s="24"/>
      <c r="G15" s="25">
        <f>IFERROR(INDEX('Item Master'!$E$4:$E$41,MATCH(C15,'Item Master'!$A$4:$A$41,0)),0)</f>
        <v>0</v>
      </c>
      <c r="H15" s="50">
        <f t="shared" si="1"/>
        <v>0</v>
      </c>
      <c r="I15" s="48"/>
      <c r="J15" s="48"/>
    </row>
    <row r="16" spans="1:10" x14ac:dyDescent="0.3">
      <c r="A16" s="16" t="str">
        <f t="shared" si="0"/>
        <v/>
      </c>
      <c r="B16" s="47"/>
      <c r="C16" s="48"/>
      <c r="D16" s="48"/>
      <c r="E16" s="48"/>
      <c r="F16" s="24"/>
      <c r="G16" s="25">
        <f>IFERROR(INDEX('Item Master'!$E$4:$E$41,MATCH(C16,'Item Master'!$A$4:$A$41,0)),0)</f>
        <v>0</v>
      </c>
      <c r="H16" s="50">
        <f t="shared" si="1"/>
        <v>0</v>
      </c>
      <c r="I16" s="48"/>
      <c r="J16" s="48"/>
    </row>
    <row r="17" spans="1:10" x14ac:dyDescent="0.3">
      <c r="A17" s="16" t="str">
        <f t="shared" si="0"/>
        <v/>
      </c>
      <c r="B17" s="47"/>
      <c r="C17" s="48"/>
      <c r="D17" s="48"/>
      <c r="E17" s="48"/>
      <c r="F17" s="24"/>
      <c r="G17" s="25">
        <f>IFERROR(INDEX('Item Master'!$E$4:$E$41,MATCH(C17,'Item Master'!$A$4:$A$41,0)),0)</f>
        <v>0</v>
      </c>
      <c r="H17" s="50">
        <f t="shared" si="1"/>
        <v>0</v>
      </c>
      <c r="I17" s="48"/>
      <c r="J17" s="48"/>
    </row>
    <row r="18" spans="1:10" x14ac:dyDescent="0.3">
      <c r="A18" s="16" t="str">
        <f t="shared" si="0"/>
        <v/>
      </c>
      <c r="B18" s="47"/>
      <c r="C18" s="48"/>
      <c r="D18" s="48"/>
      <c r="E18" s="48"/>
      <c r="F18" s="24"/>
      <c r="G18" s="25">
        <f>IFERROR(INDEX('Item Master'!$E$4:$E$41,MATCH(C18,'Item Master'!$A$4:$A$41,0)),0)</f>
        <v>0</v>
      </c>
      <c r="H18" s="50">
        <f t="shared" si="1"/>
        <v>0</v>
      </c>
      <c r="I18" s="48"/>
      <c r="J18" s="48"/>
    </row>
    <row r="19" spans="1:10" x14ac:dyDescent="0.3">
      <c r="A19" s="16" t="str">
        <f t="shared" si="0"/>
        <v/>
      </c>
      <c r="B19" s="47"/>
      <c r="C19" s="48"/>
      <c r="D19" s="48"/>
      <c r="E19" s="48"/>
      <c r="F19" s="24"/>
      <c r="G19" s="25">
        <f>IFERROR(INDEX('Item Master'!$E$4:$E$41,MATCH(C19,'Item Master'!$A$4:$A$41,0)),0)</f>
        <v>0</v>
      </c>
      <c r="H19" s="50">
        <f t="shared" si="1"/>
        <v>0</v>
      </c>
      <c r="I19" s="48"/>
      <c r="J19" s="48"/>
    </row>
    <row r="20" spans="1:10" x14ac:dyDescent="0.3">
      <c r="A20" s="16" t="str">
        <f t="shared" si="0"/>
        <v/>
      </c>
      <c r="B20" s="47"/>
      <c r="C20" s="48"/>
      <c r="D20" s="48"/>
      <c r="E20" s="48"/>
      <c r="F20" s="24"/>
      <c r="G20" s="25">
        <f>IFERROR(INDEX('Item Master'!$E$4:$E$41,MATCH(C20,'Item Master'!$A$4:$A$41,0)),0)</f>
        <v>0</v>
      </c>
      <c r="H20" s="50">
        <f t="shared" si="1"/>
        <v>0</v>
      </c>
      <c r="I20" s="48"/>
      <c r="J20" s="48"/>
    </row>
    <row r="21" spans="1:10" x14ac:dyDescent="0.3">
      <c r="A21" s="16" t="str">
        <f t="shared" si="0"/>
        <v/>
      </c>
      <c r="B21" s="47"/>
      <c r="C21" s="48"/>
      <c r="D21" s="48"/>
      <c r="E21" s="48"/>
      <c r="F21" s="24"/>
      <c r="G21" s="25">
        <f>IFERROR(INDEX('Item Master'!$E$4:$E$41,MATCH(C21,'Item Master'!$A$4:$A$41,0)),0)</f>
        <v>0</v>
      </c>
      <c r="H21" s="50">
        <f t="shared" si="1"/>
        <v>0</v>
      </c>
      <c r="I21" s="48"/>
      <c r="J21" s="48"/>
    </row>
    <row r="22" spans="1:10" x14ac:dyDescent="0.3">
      <c r="A22" s="16" t="str">
        <f t="shared" si="0"/>
        <v/>
      </c>
      <c r="B22" s="47"/>
      <c r="C22" s="48"/>
      <c r="D22" s="48"/>
      <c r="E22" s="48"/>
      <c r="F22" s="24"/>
      <c r="G22" s="25">
        <f>IFERROR(INDEX('Item Master'!$E$4:$E$41,MATCH(C22,'Item Master'!$A$4:$A$41,0)),0)</f>
        <v>0</v>
      </c>
      <c r="H22" s="50">
        <f t="shared" si="1"/>
        <v>0</v>
      </c>
      <c r="I22" s="48"/>
      <c r="J22" s="48"/>
    </row>
    <row r="23" spans="1:10" x14ac:dyDescent="0.3">
      <c r="A23" s="16" t="str">
        <f t="shared" si="0"/>
        <v/>
      </c>
      <c r="B23" s="47"/>
      <c r="C23" s="48"/>
      <c r="D23" s="48"/>
      <c r="E23" s="48"/>
      <c r="F23" s="24"/>
      <c r="G23" s="25">
        <f>IFERROR(INDEX('Item Master'!$E$4:$E$41,MATCH(C23,'Item Master'!$A$4:$A$41,0)),0)</f>
        <v>0</v>
      </c>
      <c r="H23" s="50">
        <f t="shared" si="1"/>
        <v>0</v>
      </c>
      <c r="I23" s="48"/>
      <c r="J23" s="48"/>
    </row>
    <row r="24" spans="1:10" x14ac:dyDescent="0.3">
      <c r="A24" s="16" t="str">
        <f t="shared" si="0"/>
        <v/>
      </c>
      <c r="B24" s="47"/>
      <c r="C24" s="48"/>
      <c r="D24" s="48"/>
      <c r="E24" s="48"/>
      <c r="F24" s="24"/>
      <c r="G24" s="25">
        <f>IFERROR(INDEX('Item Master'!$E$4:$E$41,MATCH(C24,'Item Master'!$A$4:$A$41,0)),0)</f>
        <v>0</v>
      </c>
      <c r="H24" s="50">
        <f t="shared" si="1"/>
        <v>0</v>
      </c>
      <c r="I24" s="48"/>
      <c r="J24" s="48"/>
    </row>
    <row r="25" spans="1:10" x14ac:dyDescent="0.3">
      <c r="A25" s="16" t="str">
        <f t="shared" si="0"/>
        <v/>
      </c>
      <c r="B25" s="47"/>
      <c r="C25" s="48"/>
      <c r="D25" s="48"/>
      <c r="E25" s="48"/>
      <c r="F25" s="24"/>
      <c r="G25" s="25">
        <f>IFERROR(INDEX('Item Master'!$E$4:$E$41,MATCH(C25,'Item Master'!$A$4:$A$41,0)),0)</f>
        <v>0</v>
      </c>
      <c r="H25" s="50">
        <f t="shared" si="1"/>
        <v>0</v>
      </c>
      <c r="I25" s="48"/>
      <c r="J25" s="48"/>
    </row>
    <row r="26" spans="1:10" x14ac:dyDescent="0.3">
      <c r="A26" s="16" t="str">
        <f t="shared" si="0"/>
        <v/>
      </c>
      <c r="B26" s="47"/>
      <c r="C26" s="48"/>
      <c r="D26" s="48"/>
      <c r="E26" s="48"/>
      <c r="F26" s="24"/>
      <c r="G26" s="25">
        <f>IFERROR(INDEX('Item Master'!$E$4:$E$41,MATCH(C26,'Item Master'!$A$4:$A$41,0)),0)</f>
        <v>0</v>
      </c>
      <c r="H26" s="50">
        <f t="shared" si="1"/>
        <v>0</v>
      </c>
      <c r="I26" s="48"/>
      <c r="J26" s="48"/>
    </row>
    <row r="27" spans="1:10" x14ac:dyDescent="0.3">
      <c r="A27" s="16" t="str">
        <f t="shared" si="0"/>
        <v/>
      </c>
      <c r="B27" s="47"/>
      <c r="C27" s="48"/>
      <c r="D27" s="48"/>
      <c r="E27" s="48"/>
      <c r="F27" s="24"/>
      <c r="G27" s="25">
        <f>IFERROR(INDEX('Item Master'!$E$4:$E$41,MATCH(C27,'Item Master'!$A$4:$A$41,0)),0)</f>
        <v>0</v>
      </c>
      <c r="H27" s="50">
        <f t="shared" si="1"/>
        <v>0</v>
      </c>
      <c r="I27" s="48"/>
      <c r="J27" s="48"/>
    </row>
    <row r="28" spans="1:10" x14ac:dyDescent="0.3">
      <c r="A28" s="16" t="str">
        <f t="shared" si="0"/>
        <v/>
      </c>
      <c r="B28" s="47"/>
      <c r="C28" s="48"/>
      <c r="D28" s="48"/>
      <c r="E28" s="48"/>
      <c r="F28" s="24"/>
      <c r="G28" s="25">
        <f>IFERROR(INDEX('Item Master'!$E$4:$E$41,MATCH(C28,'Item Master'!$A$4:$A$41,0)),0)</f>
        <v>0</v>
      </c>
      <c r="H28" s="50">
        <f t="shared" si="1"/>
        <v>0</v>
      </c>
      <c r="I28" s="48"/>
      <c r="J28" s="48"/>
    </row>
    <row r="29" spans="1:10" x14ac:dyDescent="0.3">
      <c r="A29" s="16" t="str">
        <f t="shared" si="0"/>
        <v/>
      </c>
      <c r="B29" s="47"/>
      <c r="C29" s="48"/>
      <c r="D29" s="48"/>
      <c r="E29" s="48"/>
      <c r="F29" s="24"/>
      <c r="G29" s="25">
        <f>IFERROR(INDEX('Item Master'!$E$4:$E$41,MATCH(C29,'Item Master'!$A$4:$A$41,0)),0)</f>
        <v>0</v>
      </c>
      <c r="H29" s="50">
        <f t="shared" si="1"/>
        <v>0</v>
      </c>
      <c r="I29" s="48"/>
      <c r="J29" s="48"/>
    </row>
    <row r="30" spans="1:10" x14ac:dyDescent="0.3">
      <c r="A30" s="16" t="str">
        <f t="shared" si="0"/>
        <v/>
      </c>
      <c r="B30" s="47"/>
      <c r="C30" s="48"/>
      <c r="D30" s="48"/>
      <c r="E30" s="48"/>
      <c r="F30" s="24"/>
      <c r="G30" s="25">
        <f>IFERROR(INDEX('Item Master'!$E$4:$E$41,MATCH(C30,'Item Master'!$A$4:$A$41,0)),0)</f>
        <v>0</v>
      </c>
      <c r="H30" s="50">
        <f t="shared" si="1"/>
        <v>0</v>
      </c>
      <c r="I30" s="48"/>
      <c r="J30" s="48"/>
    </row>
    <row r="31" spans="1:10" x14ac:dyDescent="0.3">
      <c r="A31" s="16" t="str">
        <f t="shared" si="0"/>
        <v/>
      </c>
      <c r="B31" s="47"/>
      <c r="C31" s="48"/>
      <c r="D31" s="48"/>
      <c r="E31" s="48"/>
      <c r="F31" s="24"/>
      <c r="G31" s="25">
        <f>IFERROR(INDEX('Item Master'!$E$4:$E$41,MATCH(C31,'Item Master'!$A$4:$A$41,0)),0)</f>
        <v>0</v>
      </c>
      <c r="H31" s="50">
        <f t="shared" si="1"/>
        <v>0</v>
      </c>
      <c r="I31" s="48"/>
      <c r="J31" s="48"/>
    </row>
    <row r="32" spans="1:10" x14ac:dyDescent="0.3">
      <c r="A32" s="16" t="str">
        <f t="shared" si="0"/>
        <v/>
      </c>
      <c r="B32" s="47"/>
      <c r="C32" s="48"/>
      <c r="D32" s="48"/>
      <c r="E32" s="48"/>
      <c r="F32" s="24"/>
      <c r="G32" s="25">
        <f>IFERROR(INDEX('Item Master'!$E$4:$E$41,MATCH(C32,'Item Master'!$A$4:$A$41,0)),0)</f>
        <v>0</v>
      </c>
      <c r="H32" s="50">
        <f t="shared" si="1"/>
        <v>0</v>
      </c>
      <c r="I32" s="48"/>
      <c r="J32" s="48"/>
    </row>
    <row r="33" spans="1:10" x14ac:dyDescent="0.3">
      <c r="A33" s="16" t="str">
        <f t="shared" si="0"/>
        <v/>
      </c>
      <c r="B33" s="47"/>
      <c r="C33" s="48"/>
      <c r="D33" s="48"/>
      <c r="E33" s="48"/>
      <c r="F33" s="24"/>
      <c r="G33" s="25">
        <f>IFERROR(INDEX('Item Master'!$E$4:$E$41,MATCH(C33,'Item Master'!$A$4:$A$41,0)),0)</f>
        <v>0</v>
      </c>
      <c r="H33" s="50">
        <f t="shared" si="1"/>
        <v>0</v>
      </c>
      <c r="I33" s="48"/>
      <c r="J33" s="48"/>
    </row>
    <row r="34" spans="1:10" x14ac:dyDescent="0.3">
      <c r="A34" s="16" t="str">
        <f t="shared" si="0"/>
        <v/>
      </c>
      <c r="B34" s="47"/>
      <c r="C34" s="48"/>
      <c r="D34" s="48"/>
      <c r="E34" s="48"/>
      <c r="F34" s="24"/>
      <c r="G34" s="25">
        <f>IFERROR(INDEX('Item Master'!$E$4:$E$41,MATCH(C34,'Item Master'!$A$4:$A$41,0)),0)</f>
        <v>0</v>
      </c>
      <c r="H34" s="50">
        <f t="shared" si="1"/>
        <v>0</v>
      </c>
      <c r="I34" s="48"/>
      <c r="J34" s="48"/>
    </row>
    <row r="35" spans="1:10" x14ac:dyDescent="0.3">
      <c r="A35" s="16" t="str">
        <f t="shared" si="0"/>
        <v/>
      </c>
      <c r="B35" s="47"/>
      <c r="C35" s="48"/>
      <c r="D35" s="48"/>
      <c r="E35" s="48"/>
      <c r="F35" s="24"/>
      <c r="G35" s="25">
        <f>IFERROR(INDEX('Item Master'!$E$4:$E$41,MATCH(C35,'Item Master'!$A$4:$A$41,0)),0)</f>
        <v>0</v>
      </c>
      <c r="H35" s="50">
        <f t="shared" si="1"/>
        <v>0</v>
      </c>
      <c r="I35" s="48"/>
      <c r="J35" s="48"/>
    </row>
    <row r="36" spans="1:10" x14ac:dyDescent="0.3">
      <c r="A36" s="16" t="str">
        <f t="shared" si="0"/>
        <v/>
      </c>
      <c r="B36" s="47"/>
      <c r="C36" s="48"/>
      <c r="D36" s="48"/>
      <c r="E36" s="48"/>
      <c r="F36" s="24"/>
      <c r="G36" s="25">
        <f>IFERROR(INDEX('Item Master'!$E$4:$E$41,MATCH(C36,'Item Master'!$A$4:$A$41,0)),0)</f>
        <v>0</v>
      </c>
      <c r="H36" s="50">
        <f t="shared" si="1"/>
        <v>0</v>
      </c>
      <c r="I36" s="48"/>
      <c r="J36" s="48"/>
    </row>
    <row r="37" spans="1:10" x14ac:dyDescent="0.3">
      <c r="A37" s="16" t="str">
        <f t="shared" si="0"/>
        <v/>
      </c>
      <c r="B37" s="47"/>
      <c r="C37" s="48"/>
      <c r="D37" s="48"/>
      <c r="E37" s="48"/>
      <c r="F37" s="24"/>
      <c r="G37" s="25">
        <f>IFERROR(INDEX('Item Master'!$E$4:$E$41,MATCH(C37,'Item Master'!$A$4:$A$41,0)),0)</f>
        <v>0</v>
      </c>
      <c r="H37" s="50">
        <f t="shared" si="1"/>
        <v>0</v>
      </c>
      <c r="I37" s="48"/>
      <c r="J37" s="48"/>
    </row>
    <row r="38" spans="1:10" x14ac:dyDescent="0.3">
      <c r="A38" s="16" t="str">
        <f t="shared" si="0"/>
        <v/>
      </c>
      <c r="B38" s="47"/>
      <c r="C38" s="48"/>
      <c r="D38" s="48"/>
      <c r="E38" s="48"/>
      <c r="F38" s="24"/>
      <c r="G38" s="25">
        <f>IFERROR(INDEX('Item Master'!$E$4:$E$41,MATCH(C38,'Item Master'!$A$4:$A$41,0)),0)</f>
        <v>0</v>
      </c>
      <c r="H38" s="50">
        <f t="shared" si="1"/>
        <v>0</v>
      </c>
      <c r="I38" s="48"/>
      <c r="J38" s="48"/>
    </row>
    <row r="39" spans="1:10" x14ac:dyDescent="0.3">
      <c r="A39" s="16" t="str">
        <f t="shared" si="0"/>
        <v/>
      </c>
      <c r="B39" s="47"/>
      <c r="C39" s="48"/>
      <c r="D39" s="48"/>
      <c r="E39" s="48"/>
      <c r="F39" s="24"/>
      <c r="G39" s="25">
        <f>IFERROR(INDEX('Item Master'!$E$4:$E$41,MATCH(C39,'Item Master'!$A$4:$A$41,0)),0)</f>
        <v>0</v>
      </c>
      <c r="H39" s="50">
        <f t="shared" si="1"/>
        <v>0</v>
      </c>
      <c r="I39" s="48"/>
      <c r="J39" s="48"/>
    </row>
    <row r="40" spans="1:10" x14ac:dyDescent="0.3">
      <c r="A40" s="16" t="str">
        <f t="shared" si="0"/>
        <v/>
      </c>
      <c r="B40" s="47"/>
      <c r="C40" s="48"/>
      <c r="D40" s="48"/>
      <c r="E40" s="48"/>
      <c r="F40" s="24"/>
      <c r="G40" s="25">
        <f>IFERROR(INDEX('Item Master'!$E$4:$E$41,MATCH(C40,'Item Master'!$A$4:$A$41,0)),0)</f>
        <v>0</v>
      </c>
      <c r="H40" s="50">
        <f t="shared" si="1"/>
        <v>0</v>
      </c>
      <c r="I40" s="48"/>
      <c r="J40" s="48"/>
    </row>
    <row r="41" spans="1:10" x14ac:dyDescent="0.3">
      <c r="A41" s="16" t="str">
        <f t="shared" si="0"/>
        <v/>
      </c>
      <c r="B41" s="47"/>
      <c r="C41" s="48"/>
      <c r="D41" s="48"/>
      <c r="E41" s="48"/>
      <c r="F41" s="24"/>
      <c r="G41" s="25">
        <f>IFERROR(INDEX('Item Master'!$E$4:$E$41,MATCH(C41,'Item Master'!$A$4:$A$41,0)),0)</f>
        <v>0</v>
      </c>
      <c r="H41" s="50">
        <f t="shared" si="1"/>
        <v>0</v>
      </c>
      <c r="I41" s="48"/>
      <c r="J41" s="48"/>
    </row>
    <row r="42" spans="1:10" x14ac:dyDescent="0.3">
      <c r="A42" s="16" t="str">
        <f t="shared" si="0"/>
        <v/>
      </c>
      <c r="B42" s="47"/>
      <c r="C42" s="48"/>
      <c r="D42" s="48"/>
      <c r="E42" s="48"/>
      <c r="F42" s="24"/>
      <c r="G42" s="25">
        <f>IFERROR(INDEX('Item Master'!$E$4:$E$41,MATCH(C42,'Item Master'!$A$4:$A$41,0)),0)</f>
        <v>0</v>
      </c>
      <c r="H42" s="50">
        <f t="shared" si="1"/>
        <v>0</v>
      </c>
      <c r="I42" s="48"/>
      <c r="J42" s="48"/>
    </row>
    <row r="43" spans="1:10" x14ac:dyDescent="0.3">
      <c r="A43" s="16" t="str">
        <f t="shared" si="0"/>
        <v/>
      </c>
      <c r="B43" s="47"/>
      <c r="C43" s="48"/>
      <c r="D43" s="48"/>
      <c r="E43" s="48"/>
      <c r="F43" s="24"/>
      <c r="G43" s="25">
        <f>IFERROR(INDEX('Item Master'!$E$4:$E$41,MATCH(C43,'Item Master'!$A$4:$A$41,0)),0)</f>
        <v>0</v>
      </c>
      <c r="H43" s="50">
        <f t="shared" si="1"/>
        <v>0</v>
      </c>
      <c r="I43" s="48"/>
      <c r="J43" s="48"/>
    </row>
    <row r="44" spans="1:10" x14ac:dyDescent="0.3">
      <c r="A44" s="16" t="str">
        <f t="shared" si="0"/>
        <v/>
      </c>
      <c r="B44" s="47"/>
      <c r="C44" s="48"/>
      <c r="D44" s="48"/>
      <c r="E44" s="48"/>
      <c r="F44" s="24"/>
      <c r="G44" s="25">
        <f>IFERROR(INDEX('Item Master'!$E$4:$E$41,MATCH(C44,'Item Master'!$A$4:$A$41,0)),0)</f>
        <v>0</v>
      </c>
      <c r="H44" s="50">
        <f t="shared" si="1"/>
        <v>0</v>
      </c>
      <c r="I44" s="48"/>
      <c r="J44" s="48"/>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155CC"/>
  </sheetPr>
  <dimension ref="A1:AM30"/>
  <sheetViews>
    <sheetView showGridLines="0" zoomScaleNormal="100" workbookViewId="0">
      <pane xSplit="5" ySplit="4" topLeftCell="F5" activePane="bottomRight" state="frozen"/>
      <selection pane="topRight" activeCell="F1" sqref="F1"/>
      <selection pane="bottomLeft" activeCell="A5" sqref="A5"/>
      <selection pane="bottomRight" activeCell="A6" sqref="A6"/>
    </sheetView>
  </sheetViews>
  <sheetFormatPr defaultColWidth="8.6640625" defaultRowHeight="14.4" x14ac:dyDescent="0.3"/>
  <cols>
    <col min="1" max="1" width="11" customWidth="1"/>
    <col min="2" max="2" width="26" customWidth="1"/>
    <col min="3" max="3" width="11" customWidth="1"/>
    <col min="4" max="5" width="12" customWidth="1"/>
    <col min="6" max="36" width="6.5546875" customWidth="1"/>
    <col min="37" max="37" width="11" customWidth="1"/>
    <col min="38" max="38" width="15" customWidth="1"/>
    <col min="39" max="39" width="17" customWidth="1"/>
  </cols>
  <sheetData>
    <row r="1" spans="1:39" ht="25.5" customHeight="1" x14ac:dyDescent="0.3">
      <c r="A1" s="14" t="s">
        <v>620</v>
      </c>
      <c r="B1" s="14"/>
      <c r="C1" s="14"/>
      <c r="D1" s="14"/>
      <c r="E1" s="14"/>
      <c r="F1" s="14"/>
      <c r="G1" s="14"/>
      <c r="H1" s="14"/>
      <c r="I1" s="14"/>
      <c r="J1" s="14"/>
    </row>
    <row r="2" spans="1:39" x14ac:dyDescent="0.3">
      <c r="A2" s="13" t="s">
        <v>621</v>
      </c>
      <c r="B2" s="13"/>
      <c r="C2" s="13"/>
      <c r="D2" s="13"/>
      <c r="E2" s="13"/>
      <c r="F2" s="13"/>
      <c r="G2" s="13"/>
      <c r="H2" s="13"/>
      <c r="I2" s="13"/>
      <c r="J2" s="13"/>
    </row>
    <row r="4" spans="1:39" ht="30" customHeight="1" x14ac:dyDescent="0.3">
      <c r="A4" s="15" t="s">
        <v>191</v>
      </c>
      <c r="B4" s="15" t="s">
        <v>192</v>
      </c>
      <c r="C4" s="15" t="s">
        <v>95</v>
      </c>
      <c r="D4" s="15" t="s">
        <v>622</v>
      </c>
      <c r="E4" s="15" t="s">
        <v>623</v>
      </c>
      <c r="F4" s="15" t="s">
        <v>522</v>
      </c>
      <c r="G4" s="15" t="s">
        <v>523</v>
      </c>
      <c r="H4" s="15" t="s">
        <v>524</v>
      </c>
      <c r="I4" s="15" t="s">
        <v>525</v>
      </c>
      <c r="J4" s="15" t="s">
        <v>526</v>
      </c>
      <c r="K4" s="15" t="s">
        <v>527</v>
      </c>
      <c r="L4" s="15" t="s">
        <v>528</v>
      </c>
      <c r="M4" s="15" t="s">
        <v>529</v>
      </c>
      <c r="N4" s="15" t="s">
        <v>530</v>
      </c>
      <c r="O4" s="15" t="s">
        <v>531</v>
      </c>
      <c r="P4" s="15" t="s">
        <v>532</v>
      </c>
      <c r="Q4" s="15" t="s">
        <v>533</v>
      </c>
      <c r="R4" s="15" t="s">
        <v>534</v>
      </c>
      <c r="S4" s="15" t="s">
        <v>535</v>
      </c>
      <c r="T4" s="15" t="s">
        <v>536</v>
      </c>
      <c r="U4" s="15" t="s">
        <v>537</v>
      </c>
      <c r="V4" s="15" t="s">
        <v>538</v>
      </c>
      <c r="W4" s="15" t="s">
        <v>539</v>
      </c>
      <c r="X4" s="15" t="s">
        <v>540</v>
      </c>
      <c r="Y4" s="15" t="s">
        <v>541</v>
      </c>
      <c r="Z4" s="15" t="s">
        <v>542</v>
      </c>
      <c r="AA4" s="15" t="s">
        <v>543</v>
      </c>
      <c r="AB4" s="15" t="s">
        <v>544</v>
      </c>
      <c r="AC4" s="15" t="s">
        <v>545</v>
      </c>
      <c r="AD4" s="15" t="s">
        <v>546</v>
      </c>
      <c r="AE4" s="15" t="s">
        <v>547</v>
      </c>
      <c r="AF4" s="15" t="s">
        <v>548</v>
      </c>
      <c r="AG4" s="15" t="s">
        <v>549</v>
      </c>
      <c r="AH4" s="15" t="s">
        <v>550</v>
      </c>
      <c r="AI4" s="15" t="s">
        <v>551</v>
      </c>
      <c r="AJ4" s="15" t="s">
        <v>552</v>
      </c>
      <c r="AK4" s="15" t="s">
        <v>624</v>
      </c>
      <c r="AL4" s="15" t="s">
        <v>625</v>
      </c>
      <c r="AM4" s="15" t="s">
        <v>626</v>
      </c>
    </row>
    <row r="5" spans="1:39" x14ac:dyDescent="0.3">
      <c r="A5" s="49" t="str">
        <f>'Menu Master'!A6</f>
        <v>FM001</v>
      </c>
      <c r="B5" s="49" t="str">
        <f>'Menu Master'!B6</f>
        <v>Classic Beef Burger</v>
      </c>
      <c r="C5" s="49" t="str">
        <f>'Menu Master'!C6</f>
        <v>Food</v>
      </c>
      <c r="D5" s="20">
        <v>320</v>
      </c>
      <c r="E5" s="25">
        <f>'Recipe Master'!H12</f>
        <v>106.15</v>
      </c>
      <c r="F5" s="24">
        <v>16</v>
      </c>
      <c r="G5" s="24">
        <v>11</v>
      </c>
      <c r="H5" s="24">
        <v>11</v>
      </c>
      <c r="I5" s="24">
        <v>16</v>
      </c>
      <c r="J5" s="24">
        <v>13</v>
      </c>
      <c r="K5" s="24">
        <v>12</v>
      </c>
      <c r="L5" s="24">
        <v>12</v>
      </c>
      <c r="M5" s="31"/>
      <c r="N5" s="31"/>
      <c r="O5" s="31"/>
      <c r="P5" s="31"/>
      <c r="Q5" s="31"/>
      <c r="R5" s="31"/>
      <c r="S5" s="31"/>
      <c r="T5" s="31"/>
      <c r="U5" s="31"/>
      <c r="V5" s="31"/>
      <c r="W5" s="31"/>
      <c r="X5" s="31"/>
      <c r="Y5" s="31"/>
      <c r="Z5" s="31"/>
      <c r="AA5" s="31"/>
      <c r="AB5" s="31"/>
      <c r="AC5" s="31"/>
      <c r="AD5" s="31"/>
      <c r="AE5" s="31"/>
      <c r="AF5" s="31"/>
      <c r="AG5" s="31"/>
      <c r="AH5" s="31"/>
      <c r="AI5" s="31"/>
      <c r="AJ5" s="31"/>
      <c r="AK5" s="37">
        <f t="shared" ref="AK5:AK30" si="0">SUM(F5:AJ5)</f>
        <v>91</v>
      </c>
      <c r="AL5" s="38">
        <f t="shared" ref="AL5:AL30" si="1">AK5*D5</f>
        <v>29120</v>
      </c>
      <c r="AM5" s="38">
        <f t="shared" ref="AM5:AM30" si="2">AK5*E5</f>
        <v>9659.65</v>
      </c>
    </row>
    <row r="6" spans="1:39" x14ac:dyDescent="0.3">
      <c r="A6" s="49" t="str">
        <f>'Menu Master'!A7</f>
        <v>FM002</v>
      </c>
      <c r="B6" s="49" t="str">
        <f>'Menu Master'!B7</f>
        <v>Double Beef Burger</v>
      </c>
      <c r="C6" s="49" t="str">
        <f>'Menu Master'!C7</f>
        <v>Food</v>
      </c>
      <c r="D6" s="20">
        <v>420</v>
      </c>
      <c r="E6" s="25">
        <f>'Recipe Master'!H22</f>
        <v>200.65</v>
      </c>
      <c r="F6" s="24">
        <v>4</v>
      </c>
      <c r="G6" s="24">
        <v>8</v>
      </c>
      <c r="H6" s="24">
        <v>3</v>
      </c>
      <c r="I6" s="24">
        <v>8</v>
      </c>
      <c r="J6" s="24">
        <v>8</v>
      </c>
      <c r="K6" s="24">
        <v>7</v>
      </c>
      <c r="L6" s="24">
        <v>3</v>
      </c>
      <c r="M6" s="31"/>
      <c r="N6" s="31"/>
      <c r="O6" s="31"/>
      <c r="P6" s="31"/>
      <c r="Q6" s="31"/>
      <c r="R6" s="31"/>
      <c r="S6" s="31"/>
      <c r="T6" s="31"/>
      <c r="U6" s="31"/>
      <c r="V6" s="31"/>
      <c r="W6" s="31"/>
      <c r="X6" s="31"/>
      <c r="Y6" s="31"/>
      <c r="Z6" s="31"/>
      <c r="AA6" s="31"/>
      <c r="AB6" s="31"/>
      <c r="AC6" s="31"/>
      <c r="AD6" s="31"/>
      <c r="AE6" s="31"/>
      <c r="AF6" s="31"/>
      <c r="AG6" s="31"/>
      <c r="AH6" s="31"/>
      <c r="AI6" s="31"/>
      <c r="AJ6" s="31"/>
      <c r="AK6" s="37">
        <f t="shared" si="0"/>
        <v>41</v>
      </c>
      <c r="AL6" s="38">
        <f t="shared" si="1"/>
        <v>17220</v>
      </c>
      <c r="AM6" s="38">
        <f t="shared" si="2"/>
        <v>8226.65</v>
      </c>
    </row>
    <row r="7" spans="1:39" x14ac:dyDescent="0.3">
      <c r="A7" s="49" t="str">
        <f>'Menu Master'!A9</f>
        <v>FM003</v>
      </c>
      <c r="B7" s="49" t="str">
        <f>'Menu Master'!B9</f>
        <v>Chicken Caesar Wrap</v>
      </c>
      <c r="C7" s="49" t="str">
        <f>'Menu Master'!C9</f>
        <v>Food</v>
      </c>
      <c r="D7" s="20">
        <v>280</v>
      </c>
      <c r="E7" s="25">
        <f>'Recipe Master'!H29</f>
        <v>107.39999999999999</v>
      </c>
      <c r="F7" s="24">
        <v>10</v>
      </c>
      <c r="G7" s="24">
        <v>9</v>
      </c>
      <c r="H7" s="24">
        <v>6</v>
      </c>
      <c r="I7" s="24">
        <v>6</v>
      </c>
      <c r="J7" s="24">
        <v>6</v>
      </c>
      <c r="K7" s="24">
        <v>7</v>
      </c>
      <c r="L7" s="24">
        <v>7</v>
      </c>
      <c r="M7" s="31"/>
      <c r="N7" s="31"/>
      <c r="O7" s="31"/>
      <c r="P7" s="31"/>
      <c r="Q7" s="31"/>
      <c r="R7" s="31"/>
      <c r="S7" s="31"/>
      <c r="T7" s="31"/>
      <c r="U7" s="31"/>
      <c r="V7" s="31"/>
      <c r="W7" s="31"/>
      <c r="X7" s="31"/>
      <c r="Y7" s="31"/>
      <c r="Z7" s="31"/>
      <c r="AA7" s="31"/>
      <c r="AB7" s="31"/>
      <c r="AC7" s="31"/>
      <c r="AD7" s="31"/>
      <c r="AE7" s="31"/>
      <c r="AF7" s="31"/>
      <c r="AG7" s="31"/>
      <c r="AH7" s="31"/>
      <c r="AI7" s="31"/>
      <c r="AJ7" s="31"/>
      <c r="AK7" s="37">
        <f t="shared" si="0"/>
        <v>51</v>
      </c>
      <c r="AL7" s="38">
        <f t="shared" si="1"/>
        <v>14280</v>
      </c>
      <c r="AM7" s="38">
        <f t="shared" si="2"/>
        <v>5477.4</v>
      </c>
    </row>
    <row r="8" spans="1:39" x14ac:dyDescent="0.3">
      <c r="A8" s="49" t="str">
        <f>'Menu Master'!A10</f>
        <v>FM004</v>
      </c>
      <c r="B8" s="49" t="str">
        <f>'Menu Master'!B10</f>
        <v>Crispy Chicken Wrap</v>
      </c>
      <c r="C8" s="49" t="str">
        <f>'Menu Master'!C10</f>
        <v>Food</v>
      </c>
      <c r="D8" s="20">
        <v>260</v>
      </c>
      <c r="E8" s="25">
        <f>'Recipe Master'!H37</f>
        <v>103.69999999999999</v>
      </c>
      <c r="F8" s="24">
        <v>9</v>
      </c>
      <c r="G8" s="24">
        <v>9</v>
      </c>
      <c r="H8" s="24">
        <v>5</v>
      </c>
      <c r="I8" s="24">
        <v>9</v>
      </c>
      <c r="J8" s="24">
        <v>6</v>
      </c>
      <c r="K8" s="24">
        <v>10</v>
      </c>
      <c r="L8" s="24">
        <v>10</v>
      </c>
      <c r="M8" s="31"/>
      <c r="N8" s="31"/>
      <c r="O8" s="31"/>
      <c r="P8" s="31"/>
      <c r="Q8" s="31"/>
      <c r="R8" s="31"/>
      <c r="S8" s="31"/>
      <c r="T8" s="31"/>
      <c r="U8" s="31"/>
      <c r="V8" s="31"/>
      <c r="W8" s="31"/>
      <c r="X8" s="31"/>
      <c r="Y8" s="31"/>
      <c r="Z8" s="31"/>
      <c r="AA8" s="31"/>
      <c r="AB8" s="31"/>
      <c r="AC8" s="31"/>
      <c r="AD8" s="31"/>
      <c r="AE8" s="31"/>
      <c r="AF8" s="31"/>
      <c r="AG8" s="31"/>
      <c r="AH8" s="31"/>
      <c r="AI8" s="31"/>
      <c r="AJ8" s="31"/>
      <c r="AK8" s="37">
        <f t="shared" si="0"/>
        <v>58</v>
      </c>
      <c r="AL8" s="38">
        <f t="shared" si="1"/>
        <v>15080</v>
      </c>
      <c r="AM8" s="38">
        <f t="shared" si="2"/>
        <v>6014.5999999999995</v>
      </c>
    </row>
    <row r="9" spans="1:39" x14ac:dyDescent="0.3">
      <c r="A9" s="49" t="str">
        <f>'Menu Master'!A12</f>
        <v>FM005</v>
      </c>
      <c r="B9" s="49" t="str">
        <f>'Menu Master'!B12</f>
        <v>Club Sandwich</v>
      </c>
      <c r="C9" s="49" t="str">
        <f>'Menu Master'!C12</f>
        <v>Food</v>
      </c>
      <c r="D9" s="20">
        <v>300</v>
      </c>
      <c r="E9" s="25">
        <f>'Recipe Master'!H46</f>
        <v>99.750000000000014</v>
      </c>
      <c r="F9" s="24">
        <v>9</v>
      </c>
      <c r="G9" s="24">
        <v>8</v>
      </c>
      <c r="H9" s="24">
        <v>7</v>
      </c>
      <c r="I9" s="24">
        <v>5</v>
      </c>
      <c r="J9" s="24">
        <v>7</v>
      </c>
      <c r="K9" s="24">
        <v>8</v>
      </c>
      <c r="L9" s="24">
        <v>6</v>
      </c>
      <c r="M9" s="31"/>
      <c r="N9" s="31"/>
      <c r="O9" s="31"/>
      <c r="P9" s="31"/>
      <c r="Q9" s="31"/>
      <c r="R9" s="31"/>
      <c r="S9" s="31"/>
      <c r="T9" s="31"/>
      <c r="U9" s="31"/>
      <c r="V9" s="31"/>
      <c r="W9" s="31"/>
      <c r="X9" s="31"/>
      <c r="Y9" s="31"/>
      <c r="Z9" s="31"/>
      <c r="AA9" s="31"/>
      <c r="AB9" s="31"/>
      <c r="AC9" s="31"/>
      <c r="AD9" s="31"/>
      <c r="AE9" s="31"/>
      <c r="AF9" s="31"/>
      <c r="AG9" s="31"/>
      <c r="AH9" s="31"/>
      <c r="AI9" s="31"/>
      <c r="AJ9" s="31"/>
      <c r="AK9" s="37">
        <f t="shared" si="0"/>
        <v>50</v>
      </c>
      <c r="AL9" s="38">
        <f t="shared" si="1"/>
        <v>15000</v>
      </c>
      <c r="AM9" s="38">
        <f t="shared" si="2"/>
        <v>4987.5000000000009</v>
      </c>
    </row>
    <row r="10" spans="1:39" x14ac:dyDescent="0.3">
      <c r="A10" s="49" t="str">
        <f>'Menu Master'!A13</f>
        <v>FM006</v>
      </c>
      <c r="B10" s="49" t="str">
        <f>'Menu Master'!B13</f>
        <v>Chicken Sandwich</v>
      </c>
      <c r="C10" s="49" t="str">
        <f>'Menu Master'!C13</f>
        <v>Food</v>
      </c>
      <c r="D10" s="20">
        <v>240</v>
      </c>
      <c r="E10" s="25">
        <f>'Recipe Master'!H53</f>
        <v>64.3</v>
      </c>
      <c r="F10" s="24">
        <v>9</v>
      </c>
      <c r="G10" s="24">
        <v>9</v>
      </c>
      <c r="H10" s="24">
        <v>3</v>
      </c>
      <c r="I10" s="24">
        <v>9</v>
      </c>
      <c r="J10" s="24">
        <v>9</v>
      </c>
      <c r="K10" s="24">
        <v>4</v>
      </c>
      <c r="L10" s="24">
        <v>8</v>
      </c>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7">
        <f t="shared" si="0"/>
        <v>51</v>
      </c>
      <c r="AL10" s="38">
        <f t="shared" si="1"/>
        <v>12240</v>
      </c>
      <c r="AM10" s="38">
        <f t="shared" si="2"/>
        <v>3279.2999999999997</v>
      </c>
    </row>
    <row r="11" spans="1:39" x14ac:dyDescent="0.3">
      <c r="A11" s="49" t="str">
        <f>'Menu Master'!A15</f>
        <v>FM007</v>
      </c>
      <c r="B11" s="49" t="str">
        <f>'Menu Master'!B15</f>
        <v>Spaghetti Bolognese</v>
      </c>
      <c r="C11" s="49" t="str">
        <f>'Menu Master'!C15</f>
        <v>Food</v>
      </c>
      <c r="D11" s="20">
        <v>350</v>
      </c>
      <c r="E11" s="25">
        <f>'Recipe Master'!H58</f>
        <v>36.4</v>
      </c>
      <c r="F11" s="24">
        <v>10</v>
      </c>
      <c r="G11" s="24">
        <v>9</v>
      </c>
      <c r="H11" s="24">
        <v>9</v>
      </c>
      <c r="I11" s="24">
        <v>8</v>
      </c>
      <c r="J11" s="24">
        <v>8</v>
      </c>
      <c r="K11" s="24">
        <v>13</v>
      </c>
      <c r="L11" s="24">
        <v>9</v>
      </c>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7">
        <f t="shared" si="0"/>
        <v>66</v>
      </c>
      <c r="AL11" s="38">
        <f t="shared" si="1"/>
        <v>23100</v>
      </c>
      <c r="AM11" s="38">
        <f t="shared" si="2"/>
        <v>2402.4</v>
      </c>
    </row>
    <row r="12" spans="1:39" x14ac:dyDescent="0.3">
      <c r="A12" s="49" t="str">
        <f>'Menu Master'!A16</f>
        <v>FM008</v>
      </c>
      <c r="B12" s="49" t="str">
        <f>'Menu Master'!B16</f>
        <v>Spaghetti Alfredo</v>
      </c>
      <c r="C12" s="49" t="str">
        <f>'Menu Master'!C16</f>
        <v>Food</v>
      </c>
      <c r="D12" s="20">
        <v>330</v>
      </c>
      <c r="E12" s="25">
        <f>'Recipe Master'!H63</f>
        <v>62.4</v>
      </c>
      <c r="F12" s="24">
        <v>5</v>
      </c>
      <c r="G12" s="24">
        <v>5</v>
      </c>
      <c r="H12" s="24">
        <v>8</v>
      </c>
      <c r="I12" s="24">
        <v>5</v>
      </c>
      <c r="J12" s="24">
        <v>7</v>
      </c>
      <c r="K12" s="24">
        <v>11</v>
      </c>
      <c r="L12" s="24">
        <v>7</v>
      </c>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7">
        <f t="shared" si="0"/>
        <v>48</v>
      </c>
      <c r="AL12" s="38">
        <f t="shared" si="1"/>
        <v>15840</v>
      </c>
      <c r="AM12" s="38">
        <f t="shared" si="2"/>
        <v>2995.2</v>
      </c>
    </row>
    <row r="13" spans="1:39" x14ac:dyDescent="0.3">
      <c r="A13" s="49" t="str">
        <f>'Menu Master'!A18</f>
        <v>FM009</v>
      </c>
      <c r="B13" s="49" t="str">
        <f>'Menu Master'!B18</f>
        <v>American Breakfast</v>
      </c>
      <c r="C13" s="49" t="str">
        <f>'Menu Master'!C18</f>
        <v>Food</v>
      </c>
      <c r="D13" s="20">
        <v>280</v>
      </c>
      <c r="E13" s="25">
        <f>'Recipe Master'!H70</f>
        <v>74.599999999999994</v>
      </c>
      <c r="F13" s="24">
        <v>6</v>
      </c>
      <c r="G13" s="24">
        <v>4</v>
      </c>
      <c r="H13" s="24">
        <v>8</v>
      </c>
      <c r="I13" s="24">
        <v>2</v>
      </c>
      <c r="J13" s="24">
        <v>7</v>
      </c>
      <c r="K13" s="24">
        <v>5</v>
      </c>
      <c r="L13" s="24">
        <v>6</v>
      </c>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7">
        <f t="shared" si="0"/>
        <v>38</v>
      </c>
      <c r="AL13" s="38">
        <f t="shared" si="1"/>
        <v>10640</v>
      </c>
      <c r="AM13" s="38">
        <f t="shared" si="2"/>
        <v>2834.7999999999997</v>
      </c>
    </row>
    <row r="14" spans="1:39" x14ac:dyDescent="0.3">
      <c r="A14" s="49" t="str">
        <f>'Menu Master'!A19</f>
        <v>FM010</v>
      </c>
      <c r="B14" s="49" t="str">
        <f>'Menu Master'!B19</f>
        <v>Continental Breakfast</v>
      </c>
      <c r="C14" s="49" t="str">
        <f>'Menu Master'!C19</f>
        <v>Food</v>
      </c>
      <c r="D14" s="20">
        <v>260</v>
      </c>
      <c r="E14" s="25">
        <f>'Recipe Master'!H76</f>
        <v>16.8</v>
      </c>
      <c r="F14" s="24">
        <v>1</v>
      </c>
      <c r="G14" s="24">
        <v>4</v>
      </c>
      <c r="H14" s="24">
        <v>1</v>
      </c>
      <c r="I14" s="24">
        <v>5</v>
      </c>
      <c r="J14" s="24">
        <v>3</v>
      </c>
      <c r="K14" s="24">
        <v>7</v>
      </c>
      <c r="L14" s="24">
        <v>6</v>
      </c>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7">
        <f t="shared" si="0"/>
        <v>27</v>
      </c>
      <c r="AL14" s="38">
        <f t="shared" si="1"/>
        <v>7020</v>
      </c>
      <c r="AM14" s="38">
        <f t="shared" si="2"/>
        <v>453.6</v>
      </c>
    </row>
    <row r="15" spans="1:39" x14ac:dyDescent="0.3">
      <c r="A15" s="49" t="str">
        <f>'Menu Master'!A21</f>
        <v>FM011</v>
      </c>
      <c r="B15" s="49" t="str">
        <f>'Menu Master'!B21</f>
        <v>Butter Croissant</v>
      </c>
      <c r="C15" s="49" t="str">
        <f>'Menu Master'!C21</f>
        <v>Food</v>
      </c>
      <c r="D15" s="20">
        <v>110</v>
      </c>
      <c r="E15" s="25">
        <f>'Recipe Master'!H80</f>
        <v>9.6</v>
      </c>
      <c r="F15" s="24">
        <v>13</v>
      </c>
      <c r="G15" s="24">
        <v>15</v>
      </c>
      <c r="H15" s="24">
        <v>11</v>
      </c>
      <c r="I15" s="24">
        <v>13</v>
      </c>
      <c r="J15" s="24">
        <v>10</v>
      </c>
      <c r="K15" s="24">
        <v>14</v>
      </c>
      <c r="L15" s="24">
        <v>9</v>
      </c>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7">
        <f t="shared" si="0"/>
        <v>85</v>
      </c>
      <c r="AL15" s="38">
        <f t="shared" si="1"/>
        <v>9350</v>
      </c>
      <c r="AM15" s="38">
        <f t="shared" si="2"/>
        <v>816</v>
      </c>
    </row>
    <row r="16" spans="1:39" x14ac:dyDescent="0.3">
      <c r="A16" s="49" t="str">
        <f>'Menu Master'!A22</f>
        <v>FM012</v>
      </c>
      <c r="B16" s="49" t="str">
        <f>'Menu Master'!B22</f>
        <v>Danish Pastry</v>
      </c>
      <c r="C16" s="49" t="str">
        <f>'Menu Master'!C22</f>
        <v>Food</v>
      </c>
      <c r="D16" s="20">
        <v>120</v>
      </c>
      <c r="E16" s="25">
        <f>'Recipe Master'!H84</f>
        <v>4.8</v>
      </c>
      <c r="F16" s="24">
        <v>6</v>
      </c>
      <c r="G16" s="24">
        <v>11</v>
      </c>
      <c r="H16" s="24">
        <v>7</v>
      </c>
      <c r="I16" s="24">
        <v>12</v>
      </c>
      <c r="J16" s="24">
        <v>8</v>
      </c>
      <c r="K16" s="24">
        <v>6</v>
      </c>
      <c r="L16" s="24">
        <v>12</v>
      </c>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7">
        <f t="shared" si="0"/>
        <v>62</v>
      </c>
      <c r="AL16" s="38">
        <f t="shared" si="1"/>
        <v>7440</v>
      </c>
      <c r="AM16" s="38">
        <f t="shared" si="2"/>
        <v>297.59999999999997</v>
      </c>
    </row>
    <row r="17" spans="1:39" x14ac:dyDescent="0.3">
      <c r="A17" s="49" t="str">
        <f>'Menu Master'!A24</f>
        <v>FM013</v>
      </c>
      <c r="B17" s="49" t="str">
        <f>'Menu Master'!B24</f>
        <v>Chicken Caesar Salad</v>
      </c>
      <c r="C17" s="49" t="str">
        <f>'Menu Master'!C24</f>
        <v>Food</v>
      </c>
      <c r="D17" s="20">
        <v>260</v>
      </c>
      <c r="E17" s="25">
        <f>'Recipe Master'!H90</f>
        <v>76</v>
      </c>
      <c r="F17" s="24">
        <v>4</v>
      </c>
      <c r="G17" s="24">
        <v>9</v>
      </c>
      <c r="H17" s="24">
        <v>3</v>
      </c>
      <c r="I17" s="24">
        <v>6</v>
      </c>
      <c r="J17" s="24">
        <v>5</v>
      </c>
      <c r="K17" s="24">
        <v>6</v>
      </c>
      <c r="L17" s="24">
        <v>8</v>
      </c>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7">
        <f t="shared" si="0"/>
        <v>41</v>
      </c>
      <c r="AL17" s="38">
        <f t="shared" si="1"/>
        <v>10660</v>
      </c>
      <c r="AM17" s="38">
        <f t="shared" si="2"/>
        <v>3116</v>
      </c>
    </row>
    <row r="18" spans="1:39" x14ac:dyDescent="0.3">
      <c r="A18" s="49" t="str">
        <f>'Menu Master'!A25</f>
        <v>FM014</v>
      </c>
      <c r="B18" s="49" t="str">
        <f>'Menu Master'!B25</f>
        <v>Avocado Salad</v>
      </c>
      <c r="C18" s="49" t="str">
        <f>'Menu Master'!C25</f>
        <v>Food</v>
      </c>
      <c r="D18" s="20">
        <v>180</v>
      </c>
      <c r="E18" s="25">
        <f>'Recipe Master'!H97</f>
        <v>26.05</v>
      </c>
      <c r="F18" s="24">
        <v>8</v>
      </c>
      <c r="G18" s="24">
        <v>4</v>
      </c>
      <c r="H18" s="24">
        <v>3</v>
      </c>
      <c r="I18" s="24">
        <v>4</v>
      </c>
      <c r="J18" s="24">
        <v>4</v>
      </c>
      <c r="K18" s="24">
        <v>3</v>
      </c>
      <c r="L18" s="24">
        <v>7</v>
      </c>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7">
        <f t="shared" si="0"/>
        <v>33</v>
      </c>
      <c r="AL18" s="38">
        <f t="shared" si="1"/>
        <v>5940</v>
      </c>
      <c r="AM18" s="38">
        <f t="shared" si="2"/>
        <v>859.65</v>
      </c>
    </row>
    <row r="19" spans="1:39" x14ac:dyDescent="0.3">
      <c r="A19" s="49" t="str">
        <f>'Menu Master'!A27</f>
        <v>FM015</v>
      </c>
      <c r="B19" s="49" t="str">
        <f>'Menu Master'!B27</f>
        <v>Margherita Pizza</v>
      </c>
      <c r="C19" s="49" t="str">
        <f>'Menu Master'!C27</f>
        <v>Food</v>
      </c>
      <c r="D19" s="20">
        <v>380</v>
      </c>
      <c r="E19" s="25">
        <f>'Recipe Master'!H102</f>
        <v>93</v>
      </c>
      <c r="F19" s="24">
        <v>10</v>
      </c>
      <c r="G19" s="24">
        <v>13</v>
      </c>
      <c r="H19" s="24">
        <v>13</v>
      </c>
      <c r="I19" s="24">
        <v>13</v>
      </c>
      <c r="J19" s="24">
        <v>8</v>
      </c>
      <c r="K19" s="24">
        <v>12</v>
      </c>
      <c r="L19" s="24">
        <v>13</v>
      </c>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7">
        <f t="shared" si="0"/>
        <v>82</v>
      </c>
      <c r="AL19" s="38">
        <f t="shared" si="1"/>
        <v>31160</v>
      </c>
      <c r="AM19" s="38">
        <f t="shared" si="2"/>
        <v>7626</v>
      </c>
    </row>
    <row r="20" spans="1:39" x14ac:dyDescent="0.3">
      <c r="A20" s="49" t="str">
        <f>'Menu Master'!A30</f>
        <v>BM001</v>
      </c>
      <c r="B20" s="49" t="str">
        <f>'Menu Master'!B30</f>
        <v>Americano</v>
      </c>
      <c r="C20" s="49" t="str">
        <f>'Menu Master'!C30</f>
        <v>Beverage</v>
      </c>
      <c r="D20" s="20">
        <v>90</v>
      </c>
      <c r="E20" s="25">
        <f>'Recipe Master'!H105</f>
        <v>16.2</v>
      </c>
      <c r="F20" s="24">
        <v>18</v>
      </c>
      <c r="G20" s="24">
        <v>21</v>
      </c>
      <c r="H20" s="24">
        <v>22</v>
      </c>
      <c r="I20" s="24">
        <v>18</v>
      </c>
      <c r="J20" s="24">
        <v>18</v>
      </c>
      <c r="K20" s="24">
        <v>20</v>
      </c>
      <c r="L20" s="24">
        <v>20</v>
      </c>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7">
        <f t="shared" si="0"/>
        <v>137</v>
      </c>
      <c r="AL20" s="38">
        <f t="shared" si="1"/>
        <v>12330</v>
      </c>
      <c r="AM20" s="38">
        <f t="shared" si="2"/>
        <v>2219.4</v>
      </c>
    </row>
    <row r="21" spans="1:39" x14ac:dyDescent="0.3">
      <c r="A21" s="49" t="str">
        <f>'Menu Master'!A31</f>
        <v>BM002</v>
      </c>
      <c r="B21" s="49" t="str">
        <f>'Menu Master'!B31</f>
        <v>Cappuccino</v>
      </c>
      <c r="C21" s="49" t="str">
        <f>'Menu Master'!C31</f>
        <v>Beverage</v>
      </c>
      <c r="D21" s="20">
        <v>110</v>
      </c>
      <c r="E21" s="25">
        <f>'Recipe Master'!H109</f>
        <v>25.95</v>
      </c>
      <c r="F21" s="24">
        <v>21</v>
      </c>
      <c r="G21" s="24">
        <v>24</v>
      </c>
      <c r="H21" s="24">
        <v>24</v>
      </c>
      <c r="I21" s="24">
        <v>23</v>
      </c>
      <c r="J21" s="24">
        <v>20</v>
      </c>
      <c r="K21" s="24">
        <v>24</v>
      </c>
      <c r="L21" s="24">
        <v>21</v>
      </c>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7">
        <f t="shared" si="0"/>
        <v>157</v>
      </c>
      <c r="AL21" s="38">
        <f t="shared" si="1"/>
        <v>17270</v>
      </c>
      <c r="AM21" s="38">
        <f t="shared" si="2"/>
        <v>4074.15</v>
      </c>
    </row>
    <row r="22" spans="1:39" x14ac:dyDescent="0.3">
      <c r="A22" s="49" t="str">
        <f>'Menu Master'!A33</f>
        <v>BM003</v>
      </c>
      <c r="B22" s="49" t="str">
        <f>'Menu Master'!B33</f>
        <v>English Breakfast Tea</v>
      </c>
      <c r="C22" s="49" t="str">
        <f>'Menu Master'!C33</f>
        <v>Beverage</v>
      </c>
      <c r="D22" s="20">
        <v>70</v>
      </c>
      <c r="E22" s="25">
        <f>'Recipe Master'!H113</f>
        <v>6.25</v>
      </c>
      <c r="F22" s="24">
        <v>13</v>
      </c>
      <c r="G22" s="24">
        <v>13</v>
      </c>
      <c r="H22" s="24">
        <v>13</v>
      </c>
      <c r="I22" s="24">
        <v>7</v>
      </c>
      <c r="J22" s="24">
        <v>8</v>
      </c>
      <c r="K22" s="24">
        <v>13</v>
      </c>
      <c r="L22" s="24">
        <v>7</v>
      </c>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7">
        <f t="shared" si="0"/>
        <v>74</v>
      </c>
      <c r="AL22" s="38">
        <f t="shared" si="1"/>
        <v>5180</v>
      </c>
      <c r="AM22" s="38">
        <f t="shared" si="2"/>
        <v>462.5</v>
      </c>
    </row>
    <row r="23" spans="1:39" x14ac:dyDescent="0.3">
      <c r="A23" s="49" t="str">
        <f>'Menu Master'!A34</f>
        <v>BM004</v>
      </c>
      <c r="B23" s="49" t="str">
        <f>'Menu Master'!B34</f>
        <v>Green Tea</v>
      </c>
      <c r="C23" s="49" t="str">
        <f>'Menu Master'!C34</f>
        <v>Beverage</v>
      </c>
      <c r="D23" s="20">
        <v>70</v>
      </c>
      <c r="E23" s="25">
        <f>'Recipe Master'!H116</f>
        <v>4</v>
      </c>
      <c r="F23" s="24">
        <v>11</v>
      </c>
      <c r="G23" s="24">
        <v>7</v>
      </c>
      <c r="H23" s="24">
        <v>8</v>
      </c>
      <c r="I23" s="24">
        <v>7</v>
      </c>
      <c r="J23" s="24">
        <v>5</v>
      </c>
      <c r="K23" s="24">
        <v>6</v>
      </c>
      <c r="L23" s="24">
        <v>9</v>
      </c>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7">
        <f t="shared" si="0"/>
        <v>53</v>
      </c>
      <c r="AL23" s="38">
        <f t="shared" si="1"/>
        <v>3710</v>
      </c>
      <c r="AM23" s="38">
        <f t="shared" si="2"/>
        <v>212</v>
      </c>
    </row>
    <row r="24" spans="1:39" x14ac:dyDescent="0.3">
      <c r="A24" s="49" t="str">
        <f>'Menu Master'!A36</f>
        <v>BM005</v>
      </c>
      <c r="B24" s="49" t="str">
        <f>'Menu Master'!B36</f>
        <v>Hot Chocolate</v>
      </c>
      <c r="C24" s="49" t="str">
        <f>'Menu Master'!C36</f>
        <v>Beverage</v>
      </c>
      <c r="D24" s="20">
        <v>100</v>
      </c>
      <c r="E24" s="25">
        <f>'Recipe Master'!H120</f>
        <v>23.5</v>
      </c>
      <c r="F24" s="24">
        <v>9</v>
      </c>
      <c r="G24" s="24">
        <v>6</v>
      </c>
      <c r="H24" s="24">
        <v>5</v>
      </c>
      <c r="I24" s="24">
        <v>9</v>
      </c>
      <c r="J24" s="24">
        <v>7</v>
      </c>
      <c r="K24" s="24">
        <v>7</v>
      </c>
      <c r="L24" s="24">
        <v>9</v>
      </c>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7">
        <f t="shared" si="0"/>
        <v>52</v>
      </c>
      <c r="AL24" s="38">
        <f t="shared" si="1"/>
        <v>5200</v>
      </c>
      <c r="AM24" s="38">
        <f t="shared" si="2"/>
        <v>1222</v>
      </c>
    </row>
    <row r="25" spans="1:39" x14ac:dyDescent="0.3">
      <c r="A25" s="49" t="str">
        <f>'Menu Master'!A38</f>
        <v>BM006</v>
      </c>
      <c r="B25" s="49" t="str">
        <f>'Menu Master'!B38</f>
        <v>Classic Mojito</v>
      </c>
      <c r="C25" s="49" t="str">
        <f>'Menu Master'!C38</f>
        <v>Beverage</v>
      </c>
      <c r="D25" s="20">
        <v>220</v>
      </c>
      <c r="E25" s="25">
        <f>'Recipe Master'!H125</f>
        <v>54.25</v>
      </c>
      <c r="F25" s="24">
        <v>9</v>
      </c>
      <c r="G25" s="24">
        <v>7</v>
      </c>
      <c r="H25" s="24">
        <v>8</v>
      </c>
      <c r="I25" s="24">
        <v>7</v>
      </c>
      <c r="J25" s="24">
        <v>7</v>
      </c>
      <c r="K25" s="24">
        <v>11</v>
      </c>
      <c r="L25" s="24">
        <v>10</v>
      </c>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7">
        <f t="shared" si="0"/>
        <v>59</v>
      </c>
      <c r="AL25" s="38">
        <f t="shared" si="1"/>
        <v>12980</v>
      </c>
      <c r="AM25" s="38">
        <f t="shared" si="2"/>
        <v>3200.75</v>
      </c>
    </row>
    <row r="26" spans="1:39" x14ac:dyDescent="0.3">
      <c r="A26" s="49" t="str">
        <f>'Menu Master'!A39</f>
        <v>BM007</v>
      </c>
      <c r="B26" s="49" t="str">
        <f>'Menu Master'!B39</f>
        <v>Strawberry Mojito</v>
      </c>
      <c r="C26" s="49" t="str">
        <f>'Menu Master'!C39</f>
        <v>Beverage</v>
      </c>
      <c r="D26" s="20">
        <v>250</v>
      </c>
      <c r="E26" s="25">
        <f>'Recipe Master'!H131</f>
        <v>59.25</v>
      </c>
      <c r="F26" s="24">
        <v>7</v>
      </c>
      <c r="G26" s="24">
        <v>5</v>
      </c>
      <c r="H26" s="24">
        <v>8</v>
      </c>
      <c r="I26" s="24">
        <v>7</v>
      </c>
      <c r="J26" s="24">
        <v>6</v>
      </c>
      <c r="K26" s="24">
        <v>7</v>
      </c>
      <c r="L26" s="24">
        <v>6</v>
      </c>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7">
        <f t="shared" si="0"/>
        <v>46</v>
      </c>
      <c r="AL26" s="38">
        <f t="shared" si="1"/>
        <v>11500</v>
      </c>
      <c r="AM26" s="38">
        <f t="shared" si="2"/>
        <v>2725.5</v>
      </c>
    </row>
    <row r="27" spans="1:39" x14ac:dyDescent="0.3">
      <c r="A27" s="49" t="str">
        <f>'Menu Master'!A41</f>
        <v>BM008</v>
      </c>
      <c r="B27" s="49" t="str">
        <f>'Menu Master'!B41</f>
        <v>Fresh Avocado Juice</v>
      </c>
      <c r="C27" s="49" t="str">
        <f>'Menu Master'!C41</f>
        <v>Beverage</v>
      </c>
      <c r="D27" s="20">
        <v>130</v>
      </c>
      <c r="E27" s="25">
        <f>'Recipe Master'!H136</f>
        <v>30.2</v>
      </c>
      <c r="F27" s="24">
        <v>7</v>
      </c>
      <c r="G27" s="24">
        <v>6</v>
      </c>
      <c r="H27" s="24">
        <v>6</v>
      </c>
      <c r="I27" s="24">
        <v>9</v>
      </c>
      <c r="J27" s="24">
        <v>8</v>
      </c>
      <c r="K27" s="24">
        <v>5</v>
      </c>
      <c r="L27" s="24">
        <v>11</v>
      </c>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7">
        <f t="shared" si="0"/>
        <v>52</v>
      </c>
      <c r="AL27" s="38">
        <f t="shared" si="1"/>
        <v>6760</v>
      </c>
      <c r="AM27" s="38">
        <f t="shared" si="2"/>
        <v>1570.3999999999999</v>
      </c>
    </row>
    <row r="28" spans="1:39" x14ac:dyDescent="0.3">
      <c r="A28" s="49" t="str">
        <f>'Menu Master'!A43</f>
        <v>BM009</v>
      </c>
      <c r="B28" s="49" t="str">
        <f>'Menu Master'!B43</f>
        <v>Coca-Cola</v>
      </c>
      <c r="C28" s="49" t="str">
        <f>'Menu Master'!C43</f>
        <v>Beverage</v>
      </c>
      <c r="D28" s="20">
        <v>70</v>
      </c>
      <c r="E28" s="25">
        <f>'Recipe Master'!H139</f>
        <v>35</v>
      </c>
      <c r="F28" s="24">
        <v>12</v>
      </c>
      <c r="G28" s="24">
        <v>18</v>
      </c>
      <c r="H28" s="24">
        <v>12</v>
      </c>
      <c r="I28" s="24">
        <v>13</v>
      </c>
      <c r="J28" s="24">
        <v>17</v>
      </c>
      <c r="K28" s="24">
        <v>13</v>
      </c>
      <c r="L28" s="24">
        <v>18</v>
      </c>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7">
        <f t="shared" si="0"/>
        <v>103</v>
      </c>
      <c r="AL28" s="38">
        <f t="shared" si="1"/>
        <v>7210</v>
      </c>
      <c r="AM28" s="38">
        <f t="shared" si="2"/>
        <v>3605</v>
      </c>
    </row>
    <row r="29" spans="1:39" x14ac:dyDescent="0.3">
      <c r="A29" s="49" t="str">
        <f>'Menu Master'!A45</f>
        <v>OM001</v>
      </c>
      <c r="B29" s="49" t="str">
        <f>'Menu Master'!B45</f>
        <v>Burger Takeaway Box</v>
      </c>
      <c r="C29" s="49" t="str">
        <f>'Menu Master'!C45</f>
        <v>To-Go Material</v>
      </c>
      <c r="D29" s="20">
        <v>10</v>
      </c>
      <c r="E29" s="25">
        <f>'Recipe Master'!H142</f>
        <v>8</v>
      </c>
      <c r="F29" s="24">
        <v>6</v>
      </c>
      <c r="G29" s="24">
        <v>4</v>
      </c>
      <c r="H29" s="24">
        <v>5</v>
      </c>
      <c r="I29" s="24">
        <v>1</v>
      </c>
      <c r="J29" s="24">
        <v>4</v>
      </c>
      <c r="K29" s="24">
        <v>4</v>
      </c>
      <c r="L29" s="24">
        <v>5</v>
      </c>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7">
        <f t="shared" si="0"/>
        <v>29</v>
      </c>
      <c r="AL29" s="38">
        <f t="shared" si="1"/>
        <v>290</v>
      </c>
      <c r="AM29" s="38">
        <f t="shared" si="2"/>
        <v>232</v>
      </c>
    </row>
    <row r="30" spans="1:39" x14ac:dyDescent="0.3">
      <c r="A30" s="49" t="str">
        <f>'Menu Master'!A46</f>
        <v>OM002</v>
      </c>
      <c r="B30" s="49" t="str">
        <f>'Menu Master'!B46</f>
        <v>Pizza Takeaway Box</v>
      </c>
      <c r="C30" s="49" t="str">
        <f>'Menu Master'!C46</f>
        <v>To-Go Material</v>
      </c>
      <c r="D30" s="20">
        <v>18</v>
      </c>
      <c r="E30" s="25">
        <f>'Recipe Master'!H145</f>
        <v>15</v>
      </c>
      <c r="F30" s="24">
        <v>3</v>
      </c>
      <c r="G30" s="24">
        <v>4</v>
      </c>
      <c r="H30" s="24">
        <v>2</v>
      </c>
      <c r="I30" s="24">
        <v>4</v>
      </c>
      <c r="J30" s="24">
        <v>6</v>
      </c>
      <c r="K30" s="24">
        <v>0</v>
      </c>
      <c r="L30" s="24">
        <v>5</v>
      </c>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7">
        <f t="shared" si="0"/>
        <v>24</v>
      </c>
      <c r="AL30" s="38">
        <f t="shared" si="1"/>
        <v>432</v>
      </c>
      <c r="AM30" s="38">
        <f t="shared" si="2"/>
        <v>360</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7B34"/>
  </sheetPr>
  <dimension ref="A1:N41"/>
  <sheetViews>
    <sheetView showGridLines="0" zoomScaleNormal="100" workbookViewId="0">
      <pane ySplit="3" topLeftCell="A4" activePane="bottomLeft" state="frozen"/>
      <selection pane="bottomLeft" activeCell="J5" sqref="J5"/>
    </sheetView>
  </sheetViews>
  <sheetFormatPr defaultColWidth="8.6640625" defaultRowHeight="14.4" x14ac:dyDescent="0.3"/>
  <cols>
    <col min="1" max="1" width="11" customWidth="1"/>
    <col min="2" max="2" width="26" customWidth="1"/>
    <col min="3" max="3" width="18" customWidth="1"/>
    <col min="4" max="4" width="8" customWidth="1"/>
    <col min="5" max="5" width="11" customWidth="1"/>
    <col min="6" max="7" width="14" customWidth="1"/>
    <col min="8" max="8" width="15" customWidth="1"/>
    <col min="9" max="10" width="13" customWidth="1"/>
    <col min="11" max="13" width="12" customWidth="1"/>
    <col min="14" max="14" width="11" customWidth="1"/>
  </cols>
  <sheetData>
    <row r="1" spans="1:14" ht="25.5" customHeight="1" x14ac:dyDescent="0.3">
      <c r="A1" s="14" t="s">
        <v>627</v>
      </c>
      <c r="B1" s="14"/>
      <c r="C1" s="14"/>
      <c r="D1" s="14"/>
      <c r="E1" s="14"/>
      <c r="F1" s="14"/>
      <c r="G1" s="14"/>
      <c r="H1" s="14"/>
      <c r="I1" s="14"/>
      <c r="J1" s="14"/>
      <c r="K1" s="14"/>
      <c r="L1" s="14"/>
      <c r="M1" s="14"/>
      <c r="N1" s="14"/>
    </row>
    <row r="2" spans="1:14" x14ac:dyDescent="0.3">
      <c r="A2" s="13" t="s">
        <v>628</v>
      </c>
      <c r="B2" s="13"/>
      <c r="C2" s="13"/>
      <c r="D2" s="13"/>
      <c r="E2" s="13"/>
      <c r="F2" s="13"/>
      <c r="G2" s="13"/>
      <c r="H2" s="13"/>
      <c r="I2" s="13"/>
      <c r="J2" s="13"/>
      <c r="K2" s="13"/>
      <c r="L2" s="13"/>
      <c r="M2" s="13"/>
      <c r="N2" s="13"/>
    </row>
    <row r="3" spans="1:14" ht="39.6" x14ac:dyDescent="0.3">
      <c r="A3" s="15" t="s">
        <v>93</v>
      </c>
      <c r="B3" s="15" t="s">
        <v>94</v>
      </c>
      <c r="C3" s="15" t="s">
        <v>95</v>
      </c>
      <c r="D3" s="15" t="s">
        <v>96</v>
      </c>
      <c r="E3" s="15" t="s">
        <v>441</v>
      </c>
      <c r="F3" s="15" t="s">
        <v>629</v>
      </c>
      <c r="G3" s="15" t="s">
        <v>630</v>
      </c>
      <c r="H3" s="15" t="s">
        <v>631</v>
      </c>
      <c r="I3" s="15" t="s">
        <v>632</v>
      </c>
      <c r="J3" s="15" t="s">
        <v>633</v>
      </c>
      <c r="K3" s="15" t="s">
        <v>634</v>
      </c>
      <c r="L3" s="15" t="s">
        <v>635</v>
      </c>
      <c r="M3" s="15" t="s">
        <v>636</v>
      </c>
      <c r="N3" s="15" t="s">
        <v>637</v>
      </c>
    </row>
    <row r="4" spans="1:14" x14ac:dyDescent="0.3">
      <c r="A4" s="63" t="s">
        <v>98</v>
      </c>
      <c r="B4" s="63"/>
      <c r="C4" s="63"/>
      <c r="D4" s="63"/>
      <c r="E4" s="63"/>
      <c r="F4" s="63"/>
      <c r="G4" s="63"/>
      <c r="H4" s="63"/>
      <c r="I4" s="63"/>
      <c r="J4" s="63"/>
      <c r="K4" s="63"/>
      <c r="L4" s="63"/>
      <c r="M4" s="63"/>
      <c r="N4" s="63"/>
    </row>
    <row r="5" spans="1:14" x14ac:dyDescent="0.3">
      <c r="A5" s="16" t="s">
        <v>99</v>
      </c>
      <c r="B5" s="16" t="s">
        <v>100</v>
      </c>
      <c r="C5" s="16" t="s">
        <v>101</v>
      </c>
      <c r="D5" s="16" t="s">
        <v>102</v>
      </c>
      <c r="E5" s="25">
        <f>'Store Inventory'!F5</f>
        <v>557.35294117647061</v>
      </c>
      <c r="F5" s="17">
        <f>SUMIF('Recipe Master'!$D$4:$D$146,A5,'Recipe Master'!$J$4:$J$146)</f>
        <v>25.95</v>
      </c>
      <c r="G5" s="17">
        <f>SUMIF('Sub-Recipe'!$D$4:$D$67,A5,'Sub-Recipe'!$N$4:$N$67)</f>
        <v>8.25</v>
      </c>
      <c r="H5" s="37">
        <f t="shared" ref="H5:H19" si="0">F5+G5</f>
        <v>34.200000000000003</v>
      </c>
      <c r="I5" s="38">
        <f>H5*E5</f>
        <v>19061.470588235297</v>
      </c>
      <c r="J5" s="26">
        <f>'Store Issue'!P6</f>
        <v>36</v>
      </c>
      <c r="K5" s="38">
        <f t="shared" ref="K5:K19" si="1">J5*E5</f>
        <v>20064.705882352941</v>
      </c>
      <c r="L5" s="17">
        <f t="shared" ref="L5:L19" si="2">J5-H5</f>
        <v>1.7999999999999972</v>
      </c>
      <c r="M5" s="19">
        <f t="shared" ref="M5:M19" si="3">K5-I5</f>
        <v>1003.2352941176432</v>
      </c>
      <c r="N5" s="51">
        <f t="shared" ref="N5:N19" si="4">IFERROR(L5/H5,0)</f>
        <v>5.2631578947368335E-2</v>
      </c>
    </row>
    <row r="6" spans="1:14" x14ac:dyDescent="0.3">
      <c r="A6" s="16" t="s">
        <v>103</v>
      </c>
      <c r="B6" s="16" t="s">
        <v>104</v>
      </c>
      <c r="C6" s="16" t="s">
        <v>101</v>
      </c>
      <c r="D6" s="16" t="s">
        <v>102</v>
      </c>
      <c r="E6" s="25">
        <f>'Store Inventory'!F6</f>
        <v>482.66666666666669</v>
      </c>
      <c r="F6" s="17">
        <f>SUMIF('Recipe Master'!$D$4:$D$146,A6,'Recipe Master'!$J$4:$J$146)</f>
        <v>36.229999999999997</v>
      </c>
      <c r="G6" s="17">
        <f>SUMIF('Sub-Recipe'!$D$4:$D$67,A6,'Sub-Recipe'!$N$4:$N$67)</f>
        <v>0</v>
      </c>
      <c r="H6" s="37">
        <f t="shared" si="0"/>
        <v>36.229999999999997</v>
      </c>
      <c r="I6" s="38">
        <f t="shared" ref="I5:I19" si="5">H6*E6</f>
        <v>17487.013333333332</v>
      </c>
      <c r="J6" s="26">
        <f>'Store Issue'!P7</f>
        <v>34</v>
      </c>
      <c r="K6" s="38">
        <f t="shared" si="1"/>
        <v>16410.666666666668</v>
      </c>
      <c r="L6" s="17">
        <f t="shared" si="2"/>
        <v>-2.2299999999999969</v>
      </c>
      <c r="M6" s="19">
        <f t="shared" si="3"/>
        <v>-1076.3466666666645</v>
      </c>
      <c r="N6" s="51">
        <f t="shared" si="4"/>
        <v>-6.1551200662434365E-2</v>
      </c>
    </row>
    <row r="7" spans="1:14" x14ac:dyDescent="0.3">
      <c r="A7" s="16" t="s">
        <v>105</v>
      </c>
      <c r="B7" s="16" t="s">
        <v>106</v>
      </c>
      <c r="C7" s="16" t="s">
        <v>101</v>
      </c>
      <c r="D7" s="16" t="s">
        <v>102</v>
      </c>
      <c r="E7" s="25">
        <f>'Store Inventory'!F7</f>
        <v>650</v>
      </c>
      <c r="F7" s="17">
        <f>SUMIF('Recipe Master'!$D$4:$D$146,A7,'Recipe Master'!$J$4:$J$146)</f>
        <v>5.54</v>
      </c>
      <c r="G7" s="17">
        <f>SUMIF('Sub-Recipe'!$D$4:$D$67,A7,'Sub-Recipe'!$N$4:$N$67)</f>
        <v>0</v>
      </c>
      <c r="H7" s="37">
        <f t="shared" si="0"/>
        <v>5.54</v>
      </c>
      <c r="I7" s="38">
        <f t="shared" si="5"/>
        <v>3601</v>
      </c>
      <c r="J7" s="26">
        <f>'Store Issue'!P8</f>
        <v>10</v>
      </c>
      <c r="K7" s="38">
        <f t="shared" si="1"/>
        <v>6500</v>
      </c>
      <c r="L7" s="17">
        <f t="shared" si="2"/>
        <v>4.46</v>
      </c>
      <c r="M7" s="19">
        <f t="shared" si="3"/>
        <v>2899</v>
      </c>
      <c r="N7" s="51">
        <f t="shared" si="4"/>
        <v>0.80505415162454874</v>
      </c>
    </row>
    <row r="8" spans="1:14" x14ac:dyDescent="0.3">
      <c r="A8" s="16" t="s">
        <v>107</v>
      </c>
      <c r="B8" s="16" t="s">
        <v>108</v>
      </c>
      <c r="C8" s="16" t="s">
        <v>109</v>
      </c>
      <c r="D8" s="16" t="s">
        <v>102</v>
      </c>
      <c r="E8" s="25">
        <f>'Store Inventory'!F8</f>
        <v>60</v>
      </c>
      <c r="F8" s="17">
        <f>SUMIF('Recipe Master'!$D$4:$D$146,A8,'Recipe Master'!$J$4:$J$146)</f>
        <v>15.330000000000002</v>
      </c>
      <c r="G8" s="17">
        <f>SUMIF('Sub-Recipe'!$D$4:$D$67,A8,'Sub-Recipe'!$N$4:$N$67)</f>
        <v>0</v>
      </c>
      <c r="H8" s="37">
        <f t="shared" si="0"/>
        <v>15.330000000000002</v>
      </c>
      <c r="I8" s="38">
        <f t="shared" si="5"/>
        <v>919.80000000000007</v>
      </c>
      <c r="J8" s="26">
        <f>'Store Issue'!P9</f>
        <v>23</v>
      </c>
      <c r="K8" s="38">
        <f t="shared" si="1"/>
        <v>1380</v>
      </c>
      <c r="L8" s="17">
        <f t="shared" si="2"/>
        <v>7.6699999999999982</v>
      </c>
      <c r="M8" s="19">
        <f t="shared" si="3"/>
        <v>460.19999999999993</v>
      </c>
      <c r="N8" s="51">
        <f t="shared" si="4"/>
        <v>0.50032615786040424</v>
      </c>
    </row>
    <row r="9" spans="1:14" x14ac:dyDescent="0.3">
      <c r="A9" s="16" t="s">
        <v>110</v>
      </c>
      <c r="B9" s="16" t="s">
        <v>111</v>
      </c>
      <c r="C9" s="16" t="s">
        <v>109</v>
      </c>
      <c r="D9" s="16" t="s">
        <v>102</v>
      </c>
      <c r="E9" s="25">
        <f>'Store Inventory'!F9</f>
        <v>56</v>
      </c>
      <c r="F9" s="17">
        <f>SUMIF('Recipe Master'!$D$4:$D$146,A9,'Recipe Master'!$J$4:$J$146)</f>
        <v>8.1300000000000008</v>
      </c>
      <c r="G9" s="17">
        <f>SUMIF('Sub-Recipe'!$D$4:$D$67,A9,'Sub-Recipe'!$N$4:$N$67)</f>
        <v>12.324999999999999</v>
      </c>
      <c r="H9" s="37">
        <f t="shared" si="0"/>
        <v>20.454999999999998</v>
      </c>
      <c r="I9" s="38">
        <f t="shared" si="5"/>
        <v>1145.48</v>
      </c>
      <c r="J9" s="26">
        <f>'Store Issue'!P10</f>
        <v>23</v>
      </c>
      <c r="K9" s="38">
        <f t="shared" si="1"/>
        <v>1288</v>
      </c>
      <c r="L9" s="17">
        <f t="shared" si="2"/>
        <v>2.5450000000000017</v>
      </c>
      <c r="M9" s="19">
        <f t="shared" si="3"/>
        <v>142.51999999999998</v>
      </c>
      <c r="N9" s="51">
        <f t="shared" si="4"/>
        <v>0.12441945734539242</v>
      </c>
    </row>
    <row r="10" spans="1:14" x14ac:dyDescent="0.3">
      <c r="A10" s="16" t="s">
        <v>112</v>
      </c>
      <c r="B10" s="16" t="s">
        <v>113</v>
      </c>
      <c r="C10" s="16" t="s">
        <v>109</v>
      </c>
      <c r="D10" s="16" t="s">
        <v>102</v>
      </c>
      <c r="E10" s="25">
        <f>'Store Inventory'!F10</f>
        <v>40</v>
      </c>
      <c r="F10" s="17">
        <f>SUMIF('Recipe Master'!$D$4:$D$146,A10,'Recipe Master'!$J$4:$J$146)</f>
        <v>4.46</v>
      </c>
      <c r="G10" s="17">
        <f>SUMIF('Sub-Recipe'!$D$4:$D$67,A10,'Sub-Recipe'!$N$4:$N$67)</f>
        <v>4.1150000000000002</v>
      </c>
      <c r="H10" s="37">
        <f t="shared" si="0"/>
        <v>8.5749999999999993</v>
      </c>
      <c r="I10" s="38">
        <f t="shared" si="5"/>
        <v>343</v>
      </c>
      <c r="J10" s="26">
        <f>'Store Issue'!P11</f>
        <v>10</v>
      </c>
      <c r="K10" s="38">
        <f t="shared" si="1"/>
        <v>400</v>
      </c>
      <c r="L10" s="17">
        <f t="shared" si="2"/>
        <v>1.4250000000000007</v>
      </c>
      <c r="M10" s="19">
        <f t="shared" si="3"/>
        <v>57</v>
      </c>
      <c r="N10" s="51">
        <f t="shared" si="4"/>
        <v>0.1661807580174928</v>
      </c>
    </row>
    <row r="11" spans="1:14" x14ac:dyDescent="0.3">
      <c r="A11" s="16" t="s">
        <v>114</v>
      </c>
      <c r="B11" s="16" t="s">
        <v>115</v>
      </c>
      <c r="C11" s="16" t="s">
        <v>116</v>
      </c>
      <c r="D11" s="16" t="s">
        <v>117</v>
      </c>
      <c r="E11" s="25">
        <f>'Store Inventory'!F11</f>
        <v>12</v>
      </c>
      <c r="F11" s="17">
        <f>SUMIF('Recipe Master'!$D$4:$D$146,A11,'Recipe Master'!$J$4:$J$146)</f>
        <v>250</v>
      </c>
      <c r="G11" s="17">
        <f>SUMIF('Sub-Recipe'!$D$4:$D$67,A11,'Sub-Recipe'!$N$4:$N$67)</f>
        <v>0</v>
      </c>
      <c r="H11" s="37">
        <f t="shared" si="0"/>
        <v>250</v>
      </c>
      <c r="I11" s="38">
        <f t="shared" si="5"/>
        <v>3000</v>
      </c>
      <c r="J11" s="26">
        <f>'Store Issue'!P12</f>
        <v>130</v>
      </c>
      <c r="K11" s="38">
        <f t="shared" si="1"/>
        <v>1560</v>
      </c>
      <c r="L11" s="17">
        <f t="shared" si="2"/>
        <v>-120</v>
      </c>
      <c r="M11" s="19">
        <f t="shared" si="3"/>
        <v>-1440</v>
      </c>
      <c r="N11" s="51">
        <f t="shared" si="4"/>
        <v>-0.48</v>
      </c>
    </row>
    <row r="12" spans="1:14" x14ac:dyDescent="0.3">
      <c r="A12" s="16" t="s">
        <v>118</v>
      </c>
      <c r="B12" s="16" t="s">
        <v>119</v>
      </c>
      <c r="C12" s="16" t="s">
        <v>120</v>
      </c>
      <c r="D12" s="16" t="s">
        <v>102</v>
      </c>
      <c r="E12" s="25">
        <f>'Store Inventory'!F12</f>
        <v>55</v>
      </c>
      <c r="F12" s="17">
        <f>SUMIF('Recipe Master'!$D$4:$D$146,A12,'Recipe Master'!$J$4:$J$146)</f>
        <v>0</v>
      </c>
      <c r="G12" s="17">
        <f>SUMIF('Sub-Recipe'!$D$4:$D$67,A12,'Sub-Recipe'!$N$4:$N$67)</f>
        <v>59.5</v>
      </c>
      <c r="H12" s="37">
        <f t="shared" si="0"/>
        <v>59.5</v>
      </c>
      <c r="I12" s="38">
        <f t="shared" si="5"/>
        <v>3272.5</v>
      </c>
      <c r="J12" s="26">
        <f>'Store Issue'!P13</f>
        <v>35</v>
      </c>
      <c r="K12" s="38">
        <f t="shared" si="1"/>
        <v>1925</v>
      </c>
      <c r="L12" s="17">
        <f t="shared" si="2"/>
        <v>-24.5</v>
      </c>
      <c r="M12" s="19">
        <f t="shared" si="3"/>
        <v>-1347.5</v>
      </c>
      <c r="N12" s="51">
        <f t="shared" si="4"/>
        <v>-0.41176470588235292</v>
      </c>
    </row>
    <row r="13" spans="1:14" x14ac:dyDescent="0.3">
      <c r="A13" s="16" t="s">
        <v>121</v>
      </c>
      <c r="B13" s="16" t="s">
        <v>122</v>
      </c>
      <c r="C13" s="16" t="s">
        <v>116</v>
      </c>
      <c r="D13" s="16" t="s">
        <v>102</v>
      </c>
      <c r="E13" s="25">
        <f>'Store Inventory'!F13</f>
        <v>480</v>
      </c>
      <c r="F13" s="17">
        <f>SUMIF('Recipe Master'!$D$4:$D$146,A13,'Recipe Master'!$J$4:$J$146)</f>
        <v>2.97</v>
      </c>
      <c r="G13" s="17">
        <f>SUMIF('Sub-Recipe'!$D$4:$D$67,A13,'Sub-Recipe'!$N$4:$N$67)</f>
        <v>12.308</v>
      </c>
      <c r="H13" s="37">
        <f t="shared" si="0"/>
        <v>15.278</v>
      </c>
      <c r="I13" s="38">
        <f t="shared" si="5"/>
        <v>7333.4400000000005</v>
      </c>
      <c r="J13" s="26">
        <f>'Store Issue'!P14</f>
        <v>10</v>
      </c>
      <c r="K13" s="38">
        <f t="shared" si="1"/>
        <v>4800</v>
      </c>
      <c r="L13" s="17">
        <f t="shared" si="2"/>
        <v>-5.2780000000000005</v>
      </c>
      <c r="M13" s="19">
        <f t="shared" si="3"/>
        <v>-2533.4400000000005</v>
      </c>
      <c r="N13" s="51">
        <f t="shared" si="4"/>
        <v>-0.34546406597722218</v>
      </c>
    </row>
    <row r="14" spans="1:14" x14ac:dyDescent="0.3">
      <c r="A14" s="16" t="s">
        <v>123</v>
      </c>
      <c r="B14" s="16" t="s">
        <v>124</v>
      </c>
      <c r="C14" s="16" t="s">
        <v>116</v>
      </c>
      <c r="D14" s="16" t="s">
        <v>117</v>
      </c>
      <c r="E14" s="25">
        <f>'Store Inventory'!F14</f>
        <v>8</v>
      </c>
      <c r="F14" s="17">
        <f>SUMIF('Recipe Master'!$D$4:$D$146,A14,'Recipe Master'!$J$4:$J$146)</f>
        <v>76</v>
      </c>
      <c r="G14" s="17">
        <f>SUMIF('Sub-Recipe'!$D$4:$D$67,A14,'Sub-Recipe'!$N$4:$N$67)</f>
        <v>35.599999999999994</v>
      </c>
      <c r="H14" s="37">
        <f t="shared" si="0"/>
        <v>111.6</v>
      </c>
      <c r="I14" s="38">
        <f t="shared" si="5"/>
        <v>892.8</v>
      </c>
      <c r="J14" s="26">
        <f>'Store Issue'!P15</f>
        <v>100</v>
      </c>
      <c r="K14" s="38">
        <f t="shared" si="1"/>
        <v>800</v>
      </c>
      <c r="L14" s="17">
        <f t="shared" si="2"/>
        <v>-11.599999999999994</v>
      </c>
      <c r="M14" s="19">
        <f t="shared" si="3"/>
        <v>-92.799999999999955</v>
      </c>
      <c r="N14" s="51">
        <f t="shared" si="4"/>
        <v>-0.10394265232974906</v>
      </c>
    </row>
    <row r="15" spans="1:14" x14ac:dyDescent="0.3">
      <c r="A15" s="16" t="s">
        <v>125</v>
      </c>
      <c r="B15" s="16" t="s">
        <v>126</v>
      </c>
      <c r="C15" s="16" t="s">
        <v>120</v>
      </c>
      <c r="D15" s="16" t="s">
        <v>102</v>
      </c>
      <c r="E15" s="25">
        <f>'Store Inventory'!F15</f>
        <v>120</v>
      </c>
      <c r="F15" s="17">
        <f>SUMIF('Recipe Master'!$D$4:$D$146,A15,'Recipe Master'!$J$4:$J$146)</f>
        <v>22.800000000000004</v>
      </c>
      <c r="G15" s="17">
        <f>SUMIF('Sub-Recipe'!$D$4:$D$67,A15,'Sub-Recipe'!$N$4:$N$67)</f>
        <v>0</v>
      </c>
      <c r="H15" s="37">
        <f t="shared" si="0"/>
        <v>22.800000000000004</v>
      </c>
      <c r="I15" s="38">
        <f t="shared" si="5"/>
        <v>2736.0000000000005</v>
      </c>
      <c r="J15" s="26">
        <f>'Store Issue'!P16</f>
        <v>18</v>
      </c>
      <c r="K15" s="38">
        <f t="shared" si="1"/>
        <v>2160</v>
      </c>
      <c r="L15" s="17">
        <f t="shared" si="2"/>
        <v>-4.8000000000000043</v>
      </c>
      <c r="M15" s="19">
        <f t="shared" si="3"/>
        <v>-576.00000000000045</v>
      </c>
      <c r="N15" s="51">
        <f t="shared" si="4"/>
        <v>-0.21052631578947384</v>
      </c>
    </row>
    <row r="16" spans="1:14" x14ac:dyDescent="0.3">
      <c r="A16" s="16" t="s">
        <v>127</v>
      </c>
      <c r="B16" s="16" t="s">
        <v>128</v>
      </c>
      <c r="C16" s="16" t="s">
        <v>120</v>
      </c>
      <c r="D16" s="16" t="s">
        <v>117</v>
      </c>
      <c r="E16" s="25">
        <f>'Store Inventory'!F16</f>
        <v>15</v>
      </c>
      <c r="F16" s="17">
        <f>SUMIF('Recipe Master'!$D$4:$D$146,A16,'Recipe Master'!$J$4:$J$146)</f>
        <v>109</v>
      </c>
      <c r="G16" s="17">
        <f>SUMIF('Sub-Recipe'!$D$4:$D$67,A16,'Sub-Recipe'!$N$4:$N$67)</f>
        <v>0</v>
      </c>
      <c r="H16" s="37">
        <f t="shared" si="0"/>
        <v>109</v>
      </c>
      <c r="I16" s="38">
        <f t="shared" si="5"/>
        <v>1635</v>
      </c>
      <c r="J16" s="26">
        <f>'Store Issue'!P17</f>
        <v>55</v>
      </c>
      <c r="K16" s="38">
        <f t="shared" si="1"/>
        <v>825</v>
      </c>
      <c r="L16" s="17">
        <f t="shared" si="2"/>
        <v>-54</v>
      </c>
      <c r="M16" s="19">
        <f t="shared" si="3"/>
        <v>-810</v>
      </c>
      <c r="N16" s="51">
        <f t="shared" si="4"/>
        <v>-0.49541284403669728</v>
      </c>
    </row>
    <row r="17" spans="1:14" x14ac:dyDescent="0.3">
      <c r="A17" s="16" t="s">
        <v>129</v>
      </c>
      <c r="B17" s="16" t="s">
        <v>130</v>
      </c>
      <c r="C17" s="16" t="s">
        <v>131</v>
      </c>
      <c r="D17" s="16" t="s">
        <v>102</v>
      </c>
      <c r="E17" s="25">
        <f>'Store Inventory'!F17</f>
        <v>220</v>
      </c>
      <c r="F17" s="17">
        <f>SUMIF('Recipe Master'!$D$4:$D$146,A17,'Recipe Master'!$J$4:$J$146)</f>
        <v>6.4</v>
      </c>
      <c r="G17" s="17">
        <f>SUMIF('Sub-Recipe'!$D$4:$D$67,A17,'Sub-Recipe'!$N$4:$N$67)</f>
        <v>5.52</v>
      </c>
      <c r="H17" s="37">
        <f t="shared" si="0"/>
        <v>11.92</v>
      </c>
      <c r="I17" s="38">
        <f t="shared" si="5"/>
        <v>2622.4</v>
      </c>
      <c r="J17" s="26">
        <f>'Store Issue'!P18</f>
        <v>20</v>
      </c>
      <c r="K17" s="38">
        <f t="shared" si="1"/>
        <v>4400</v>
      </c>
      <c r="L17" s="17">
        <f t="shared" si="2"/>
        <v>8.08</v>
      </c>
      <c r="M17" s="19">
        <f t="shared" si="3"/>
        <v>1777.6</v>
      </c>
      <c r="N17" s="51">
        <f t="shared" si="4"/>
        <v>0.67785234899328861</v>
      </c>
    </row>
    <row r="18" spans="1:14" x14ac:dyDescent="0.3">
      <c r="A18" s="16" t="s">
        <v>132</v>
      </c>
      <c r="B18" s="16" t="s">
        <v>133</v>
      </c>
      <c r="C18" s="16" t="s">
        <v>131</v>
      </c>
      <c r="D18" s="16" t="s">
        <v>102</v>
      </c>
      <c r="E18" s="25">
        <f>'Store Inventory'!F18</f>
        <v>180</v>
      </c>
      <c r="F18" s="17">
        <f>SUMIF('Recipe Master'!$D$4:$D$146,A18,'Recipe Master'!$J$4:$J$146)</f>
        <v>3.02</v>
      </c>
      <c r="G18" s="17">
        <f>SUMIF('Sub-Recipe'!$D$4:$D$67,A18,'Sub-Recipe'!$N$4:$N$67)</f>
        <v>0</v>
      </c>
      <c r="H18" s="37">
        <f t="shared" si="0"/>
        <v>3.02</v>
      </c>
      <c r="I18" s="38">
        <f t="shared" si="5"/>
        <v>543.6</v>
      </c>
      <c r="J18" s="26">
        <f>'Store Issue'!P19</f>
        <v>18</v>
      </c>
      <c r="K18" s="38">
        <f t="shared" si="1"/>
        <v>3240</v>
      </c>
      <c r="L18" s="17">
        <f t="shared" si="2"/>
        <v>14.98</v>
      </c>
      <c r="M18" s="19">
        <f t="shared" si="3"/>
        <v>2696.4</v>
      </c>
      <c r="N18" s="51">
        <f t="shared" si="4"/>
        <v>4.9602649006622519</v>
      </c>
    </row>
    <row r="19" spans="1:14" x14ac:dyDescent="0.3">
      <c r="A19" s="16" t="s">
        <v>134</v>
      </c>
      <c r="B19" s="16" t="s">
        <v>135</v>
      </c>
      <c r="C19" s="16" t="s">
        <v>116</v>
      </c>
      <c r="D19" s="16" t="s">
        <v>102</v>
      </c>
      <c r="E19" s="25">
        <f>'Store Inventory'!F19</f>
        <v>620</v>
      </c>
      <c r="F19" s="17">
        <f>SUMIF('Recipe Master'!$D$4:$D$146,A19,'Recipe Master'!$J$4:$J$146)</f>
        <v>15.969999999999999</v>
      </c>
      <c r="G19" s="17">
        <f>SUMIF('Sub-Recipe'!$D$4:$D$67,A19,'Sub-Recipe'!$N$4:$N$67)</f>
        <v>2.12</v>
      </c>
      <c r="H19" s="37">
        <f t="shared" si="0"/>
        <v>18.09</v>
      </c>
      <c r="I19" s="38">
        <f t="shared" si="5"/>
        <v>11215.8</v>
      </c>
      <c r="J19" s="26">
        <f>'Store Issue'!P20</f>
        <v>15</v>
      </c>
      <c r="K19" s="38">
        <f t="shared" si="1"/>
        <v>9300</v>
      </c>
      <c r="L19" s="17">
        <f t="shared" si="2"/>
        <v>-3.09</v>
      </c>
      <c r="M19" s="19">
        <f t="shared" si="3"/>
        <v>-1915.7999999999993</v>
      </c>
      <c r="N19" s="51">
        <f t="shared" si="4"/>
        <v>-0.17081260364842454</v>
      </c>
    </row>
    <row r="20" spans="1:14" x14ac:dyDescent="0.3">
      <c r="A20" s="63" t="s">
        <v>136</v>
      </c>
      <c r="B20" s="63"/>
      <c r="C20" s="63"/>
      <c r="D20" s="63"/>
      <c r="E20" s="63"/>
      <c r="F20" s="63"/>
      <c r="G20" s="63"/>
      <c r="H20" s="63"/>
      <c r="I20" s="63"/>
      <c r="J20" s="63"/>
      <c r="K20" s="63"/>
      <c r="L20" s="63"/>
      <c r="M20" s="63"/>
      <c r="N20" s="63"/>
    </row>
    <row r="21" spans="1:14" x14ac:dyDescent="0.3">
      <c r="A21" s="16" t="s">
        <v>137</v>
      </c>
      <c r="B21" s="16" t="s">
        <v>138</v>
      </c>
      <c r="C21" s="16" t="s">
        <v>139</v>
      </c>
      <c r="D21" s="16" t="s">
        <v>102</v>
      </c>
      <c r="E21" s="25">
        <f>'Store Inventory'!F21</f>
        <v>900</v>
      </c>
      <c r="F21" s="17">
        <f>SUMIF('Recipe Master'!$D$4:$D$146,A21,'Recipe Master'!$J$4:$J$146)</f>
        <v>5.2919999999999998</v>
      </c>
      <c r="G21" s="17">
        <f>SUMIF('Sub-Recipe'!$D$4:$D$67,A21,'Sub-Recipe'!$N$4:$N$67)</f>
        <v>0</v>
      </c>
      <c r="H21" s="37">
        <f t="shared" ref="H21:H31" si="6">F21+G21</f>
        <v>5.2919999999999998</v>
      </c>
      <c r="I21" s="38">
        <f t="shared" ref="I21:I31" si="7">H21*E21</f>
        <v>4762.8</v>
      </c>
      <c r="J21" s="26">
        <f>'Store Issue'!P22</f>
        <v>15</v>
      </c>
      <c r="K21" s="38">
        <f t="shared" ref="K21:K31" si="8">J21*E21</f>
        <v>13500</v>
      </c>
      <c r="L21" s="17">
        <f t="shared" ref="L21:L31" si="9">J21-H21</f>
        <v>9.7080000000000002</v>
      </c>
      <c r="M21" s="19">
        <f t="shared" ref="M21:M31" si="10">K21-I21</f>
        <v>8737.2000000000007</v>
      </c>
      <c r="N21" s="51">
        <f t="shared" ref="N21:N31" si="11">IFERROR(L21/H21,0)</f>
        <v>1.834467120181406</v>
      </c>
    </row>
    <row r="22" spans="1:14" x14ac:dyDescent="0.3">
      <c r="A22" s="16" t="s">
        <v>140</v>
      </c>
      <c r="B22" s="16" t="s">
        <v>141</v>
      </c>
      <c r="C22" s="16" t="s">
        <v>139</v>
      </c>
      <c r="D22" s="16" t="s">
        <v>117</v>
      </c>
      <c r="E22" s="25">
        <f>'Store Inventory'!F22</f>
        <v>3</v>
      </c>
      <c r="F22" s="17">
        <f>SUMIF('Recipe Master'!$D$4:$D$146,A22,'Recipe Master'!$J$4:$J$146)</f>
        <v>74</v>
      </c>
      <c r="G22" s="17">
        <f>SUMIF('Sub-Recipe'!$D$4:$D$67,A22,'Sub-Recipe'!$N$4:$N$67)</f>
        <v>0</v>
      </c>
      <c r="H22" s="37">
        <f t="shared" si="6"/>
        <v>74</v>
      </c>
      <c r="I22" s="38">
        <f t="shared" si="7"/>
        <v>222</v>
      </c>
      <c r="J22" s="26">
        <f>'Store Issue'!P23</f>
        <v>0</v>
      </c>
      <c r="K22" s="38">
        <f t="shared" si="8"/>
        <v>0</v>
      </c>
      <c r="L22" s="17">
        <f t="shared" si="9"/>
        <v>-74</v>
      </c>
      <c r="M22" s="19">
        <f t="shared" si="10"/>
        <v>-222</v>
      </c>
      <c r="N22" s="51">
        <f t="shared" si="11"/>
        <v>-1</v>
      </c>
    </row>
    <row r="23" spans="1:14" x14ac:dyDescent="0.3">
      <c r="A23" s="16" t="s">
        <v>142</v>
      </c>
      <c r="B23" s="16" t="s">
        <v>143</v>
      </c>
      <c r="C23" s="16" t="s">
        <v>139</v>
      </c>
      <c r="D23" s="16" t="s">
        <v>117</v>
      </c>
      <c r="E23" s="25">
        <f>'Store Inventory'!F23</f>
        <v>4</v>
      </c>
      <c r="F23" s="17">
        <f>SUMIF('Recipe Master'!$D$4:$D$146,A23,'Recipe Master'!$J$4:$J$146)</f>
        <v>53</v>
      </c>
      <c r="G23" s="17">
        <f>SUMIF('Sub-Recipe'!$D$4:$D$67,A23,'Sub-Recipe'!$N$4:$N$67)</f>
        <v>0</v>
      </c>
      <c r="H23" s="37">
        <f t="shared" si="6"/>
        <v>53</v>
      </c>
      <c r="I23" s="38">
        <f t="shared" si="7"/>
        <v>212</v>
      </c>
      <c r="J23" s="26">
        <f>'Store Issue'!P24</f>
        <v>0</v>
      </c>
      <c r="K23" s="38">
        <f t="shared" si="8"/>
        <v>0</v>
      </c>
      <c r="L23" s="17">
        <f t="shared" si="9"/>
        <v>-53</v>
      </c>
      <c r="M23" s="19">
        <f t="shared" si="10"/>
        <v>-212</v>
      </c>
      <c r="N23" s="51">
        <f t="shared" si="11"/>
        <v>-1</v>
      </c>
    </row>
    <row r="24" spans="1:14" x14ac:dyDescent="0.3">
      <c r="A24" s="16" t="s">
        <v>144</v>
      </c>
      <c r="B24" s="16" t="s">
        <v>145</v>
      </c>
      <c r="C24" s="16" t="s">
        <v>146</v>
      </c>
      <c r="D24" s="16" t="s">
        <v>147</v>
      </c>
      <c r="E24" s="25">
        <f>'Store Inventory'!F24</f>
        <v>65.461538461538467</v>
      </c>
      <c r="F24" s="17">
        <f>SUMIF('Recipe Master'!$D$4:$D$146,A24,'Recipe Master'!$J$4:$J$146)</f>
        <v>42.85</v>
      </c>
      <c r="G24" s="17">
        <f>SUMIF('Sub-Recipe'!$D$4:$D$67,A24,'Sub-Recipe'!$N$4:$N$67)</f>
        <v>3</v>
      </c>
      <c r="H24" s="37">
        <f t="shared" si="6"/>
        <v>45.85</v>
      </c>
      <c r="I24" s="38">
        <f t="shared" si="7"/>
        <v>3001.4115384615388</v>
      </c>
      <c r="J24" s="26">
        <f>'Store Issue'!P25</f>
        <v>85</v>
      </c>
      <c r="K24" s="38">
        <f t="shared" si="8"/>
        <v>5564.2307692307695</v>
      </c>
      <c r="L24" s="17">
        <f t="shared" si="9"/>
        <v>39.15</v>
      </c>
      <c r="M24" s="19">
        <f t="shared" si="10"/>
        <v>2562.8192307692307</v>
      </c>
      <c r="N24" s="51">
        <f t="shared" si="11"/>
        <v>0.85387131952017448</v>
      </c>
    </row>
    <row r="25" spans="1:14" x14ac:dyDescent="0.3">
      <c r="A25" s="16" t="s">
        <v>148</v>
      </c>
      <c r="B25" s="16" t="s">
        <v>149</v>
      </c>
      <c r="C25" s="16" t="s">
        <v>139</v>
      </c>
      <c r="D25" s="16" t="s">
        <v>102</v>
      </c>
      <c r="E25" s="25">
        <f>'Store Inventory'!F25</f>
        <v>350</v>
      </c>
      <c r="F25" s="17">
        <f>SUMIF('Recipe Master'!$D$4:$D$146,A25,'Recipe Master'!$J$4:$J$146)</f>
        <v>1.56</v>
      </c>
      <c r="G25" s="17">
        <f>SUMIF('Sub-Recipe'!$D$4:$D$67,A25,'Sub-Recipe'!$N$4:$N$67)</f>
        <v>0</v>
      </c>
      <c r="H25" s="37">
        <f t="shared" si="6"/>
        <v>1.56</v>
      </c>
      <c r="I25" s="38">
        <f t="shared" si="7"/>
        <v>546</v>
      </c>
      <c r="J25" s="26">
        <f>'Store Issue'!P26</f>
        <v>0</v>
      </c>
      <c r="K25" s="38">
        <f t="shared" si="8"/>
        <v>0</v>
      </c>
      <c r="L25" s="17">
        <f t="shared" si="9"/>
        <v>-1.56</v>
      </c>
      <c r="M25" s="19">
        <f t="shared" si="10"/>
        <v>-546</v>
      </c>
      <c r="N25" s="51">
        <f t="shared" si="11"/>
        <v>-1</v>
      </c>
    </row>
    <row r="26" spans="1:14" x14ac:dyDescent="0.3">
      <c r="A26" s="16" t="s">
        <v>150</v>
      </c>
      <c r="B26" s="16" t="s">
        <v>151</v>
      </c>
      <c r="C26" s="16" t="s">
        <v>152</v>
      </c>
      <c r="D26" s="16" t="s">
        <v>147</v>
      </c>
      <c r="E26" s="25">
        <f>'Store Inventory'!F26</f>
        <v>950</v>
      </c>
      <c r="F26" s="17">
        <f>SUMIF('Recipe Master'!$D$4:$D$146,A26,'Recipe Master'!$J$4:$J$146)</f>
        <v>5.25</v>
      </c>
      <c r="G26" s="17">
        <f>SUMIF('Sub-Recipe'!$D$4:$D$67,A26,'Sub-Recipe'!$N$4:$N$67)</f>
        <v>0</v>
      </c>
      <c r="H26" s="37">
        <f t="shared" si="6"/>
        <v>5.25</v>
      </c>
      <c r="I26" s="38">
        <f t="shared" si="7"/>
        <v>4987.5</v>
      </c>
      <c r="J26" s="26">
        <f>'Store Issue'!P27</f>
        <v>6</v>
      </c>
      <c r="K26" s="38">
        <f t="shared" si="8"/>
        <v>5700</v>
      </c>
      <c r="L26" s="17">
        <f t="shared" si="9"/>
        <v>0.75</v>
      </c>
      <c r="M26" s="19">
        <f t="shared" si="10"/>
        <v>712.5</v>
      </c>
      <c r="N26" s="51">
        <f t="shared" si="11"/>
        <v>0.14285714285714285</v>
      </c>
    </row>
    <row r="27" spans="1:14" x14ac:dyDescent="0.3">
      <c r="A27" s="16" t="s">
        <v>153</v>
      </c>
      <c r="B27" s="16" t="s">
        <v>154</v>
      </c>
      <c r="C27" s="16" t="s">
        <v>155</v>
      </c>
      <c r="D27" s="16" t="s">
        <v>102</v>
      </c>
      <c r="E27" s="25">
        <f>'Store Inventory'!F27</f>
        <v>150</v>
      </c>
      <c r="F27" s="17">
        <f>SUMIF('Recipe Master'!$D$4:$D$146,A27,'Recipe Master'!$J$4:$J$146)</f>
        <v>0</v>
      </c>
      <c r="G27" s="17">
        <f>SUMIF('Sub-Recipe'!$D$4:$D$67,A27,'Sub-Recipe'!$N$4:$N$67)</f>
        <v>0.52500000000000002</v>
      </c>
      <c r="H27" s="37">
        <f t="shared" si="6"/>
        <v>0.52500000000000002</v>
      </c>
      <c r="I27" s="38">
        <f t="shared" si="7"/>
        <v>78.75</v>
      </c>
      <c r="J27" s="26">
        <f>'Store Issue'!P28</f>
        <v>0</v>
      </c>
      <c r="K27" s="38">
        <f t="shared" si="8"/>
        <v>0</v>
      </c>
      <c r="L27" s="17">
        <f t="shared" si="9"/>
        <v>-0.52500000000000002</v>
      </c>
      <c r="M27" s="19">
        <f t="shared" si="10"/>
        <v>-78.75</v>
      </c>
      <c r="N27" s="51">
        <f t="shared" si="11"/>
        <v>-1</v>
      </c>
    </row>
    <row r="28" spans="1:14" x14ac:dyDescent="0.3">
      <c r="A28" s="16" t="s">
        <v>156</v>
      </c>
      <c r="B28" s="16" t="s">
        <v>157</v>
      </c>
      <c r="C28" s="16" t="s">
        <v>155</v>
      </c>
      <c r="D28" s="16" t="s">
        <v>102</v>
      </c>
      <c r="E28" s="25">
        <f>'Store Inventory'!F28</f>
        <v>100</v>
      </c>
      <c r="F28" s="17">
        <f>SUMIF('Recipe Master'!$D$4:$D$146,A28,'Recipe Master'!$J$4:$J$146)</f>
        <v>2.3000000000000003</v>
      </c>
      <c r="G28" s="17">
        <f>SUMIF('Sub-Recipe'!$D$4:$D$67,A28,'Sub-Recipe'!$N$4:$N$67)</f>
        <v>2.4950000000000001</v>
      </c>
      <c r="H28" s="37">
        <f t="shared" si="6"/>
        <v>4.7949999999999999</v>
      </c>
      <c r="I28" s="38">
        <f t="shared" si="7"/>
        <v>479.5</v>
      </c>
      <c r="J28" s="26">
        <f>'Store Issue'!P29</f>
        <v>6</v>
      </c>
      <c r="K28" s="38">
        <f t="shared" si="8"/>
        <v>600</v>
      </c>
      <c r="L28" s="17">
        <f t="shared" si="9"/>
        <v>1.2050000000000001</v>
      </c>
      <c r="M28" s="19">
        <f t="shared" si="10"/>
        <v>120.5</v>
      </c>
      <c r="N28" s="51">
        <f t="shared" si="11"/>
        <v>0.25130344108446301</v>
      </c>
    </row>
    <row r="29" spans="1:14" x14ac:dyDescent="0.3">
      <c r="A29" s="16" t="s">
        <v>158</v>
      </c>
      <c r="B29" s="16" t="s">
        <v>159</v>
      </c>
      <c r="C29" s="16" t="s">
        <v>109</v>
      </c>
      <c r="D29" s="16" t="s">
        <v>102</v>
      </c>
      <c r="E29" s="25">
        <f>'Store Inventory'!F29</f>
        <v>90</v>
      </c>
      <c r="F29" s="17">
        <f>SUMIF('Recipe Master'!$D$4:$D$146,A29,'Recipe Master'!$J$4:$J$146)</f>
        <v>17.95</v>
      </c>
      <c r="G29" s="17">
        <f>SUMIF('Sub-Recipe'!$D$4:$D$67,A29,'Sub-Recipe'!$N$4:$N$67)</f>
        <v>0</v>
      </c>
      <c r="H29" s="37">
        <f t="shared" si="6"/>
        <v>17.95</v>
      </c>
      <c r="I29" s="38">
        <f t="shared" si="7"/>
        <v>1615.5</v>
      </c>
      <c r="J29" s="26">
        <f>'Store Issue'!P30</f>
        <v>12</v>
      </c>
      <c r="K29" s="38">
        <f t="shared" si="8"/>
        <v>1080</v>
      </c>
      <c r="L29" s="17">
        <f t="shared" si="9"/>
        <v>-5.9499999999999993</v>
      </c>
      <c r="M29" s="19">
        <f t="shared" si="10"/>
        <v>-535.5</v>
      </c>
      <c r="N29" s="51">
        <f t="shared" si="11"/>
        <v>-0.33147632311977715</v>
      </c>
    </row>
    <row r="30" spans="1:14" x14ac:dyDescent="0.3">
      <c r="A30" s="16" t="s">
        <v>160</v>
      </c>
      <c r="B30" s="16" t="s">
        <v>161</v>
      </c>
      <c r="C30" s="16" t="s">
        <v>162</v>
      </c>
      <c r="D30" s="16" t="s">
        <v>147</v>
      </c>
      <c r="E30" s="25">
        <f>'Store Inventory'!F30</f>
        <v>45</v>
      </c>
      <c r="F30" s="17">
        <f>SUMIF('Recipe Master'!$D$4:$D$146,A30,'Recipe Master'!$J$4:$J$146)</f>
        <v>15.75</v>
      </c>
      <c r="G30" s="17">
        <f>SUMIF('Sub-Recipe'!$D$4:$D$67,A30,'Sub-Recipe'!$N$4:$N$67)</f>
        <v>0</v>
      </c>
      <c r="H30" s="37">
        <f t="shared" si="6"/>
        <v>15.75</v>
      </c>
      <c r="I30" s="38">
        <f t="shared" si="7"/>
        <v>708.75</v>
      </c>
      <c r="J30" s="26">
        <f>'Store Issue'!P31</f>
        <v>18</v>
      </c>
      <c r="K30" s="38">
        <f t="shared" si="8"/>
        <v>810</v>
      </c>
      <c r="L30" s="17">
        <f t="shared" si="9"/>
        <v>2.25</v>
      </c>
      <c r="M30" s="19">
        <f t="shared" si="10"/>
        <v>101.25</v>
      </c>
      <c r="N30" s="51">
        <f t="shared" si="11"/>
        <v>0.14285714285714285</v>
      </c>
    </row>
    <row r="31" spans="1:14" x14ac:dyDescent="0.3">
      <c r="A31" s="16" t="s">
        <v>163</v>
      </c>
      <c r="B31" s="16" t="s">
        <v>164</v>
      </c>
      <c r="C31" s="16" t="s">
        <v>165</v>
      </c>
      <c r="D31" s="16" t="s">
        <v>166</v>
      </c>
      <c r="E31" s="25">
        <f>'Store Inventory'!F31</f>
        <v>35</v>
      </c>
      <c r="F31" s="17">
        <f>SUMIF('Recipe Master'!$D$4:$D$146,A31,'Recipe Master'!$J$4:$J$146)</f>
        <v>103</v>
      </c>
      <c r="G31" s="17">
        <f>SUMIF('Sub-Recipe'!$D$4:$D$67,A31,'Sub-Recipe'!$N$4:$N$67)</f>
        <v>0</v>
      </c>
      <c r="H31" s="37">
        <f t="shared" si="6"/>
        <v>103</v>
      </c>
      <c r="I31" s="38">
        <f t="shared" si="7"/>
        <v>3605</v>
      </c>
      <c r="J31" s="26">
        <f>'Store Issue'!P32</f>
        <v>150</v>
      </c>
      <c r="K31" s="38">
        <f t="shared" si="8"/>
        <v>5250</v>
      </c>
      <c r="L31" s="17">
        <f t="shared" si="9"/>
        <v>47</v>
      </c>
      <c r="M31" s="19">
        <f t="shared" si="10"/>
        <v>1645</v>
      </c>
      <c r="N31" s="51">
        <f t="shared" si="11"/>
        <v>0.4563106796116505</v>
      </c>
    </row>
    <row r="32" spans="1:14" x14ac:dyDescent="0.3">
      <c r="A32" s="63" t="s">
        <v>167</v>
      </c>
      <c r="B32" s="63"/>
      <c r="C32" s="63"/>
      <c r="D32" s="63"/>
      <c r="E32" s="63"/>
      <c r="F32" s="63"/>
      <c r="G32" s="63"/>
      <c r="H32" s="63"/>
      <c r="I32" s="63"/>
      <c r="J32" s="63"/>
      <c r="K32" s="63"/>
      <c r="L32" s="63"/>
      <c r="M32" s="63"/>
      <c r="N32" s="63"/>
    </row>
    <row r="33" spans="1:14" x14ac:dyDescent="0.3">
      <c r="A33" s="16" t="s">
        <v>168</v>
      </c>
      <c r="B33" s="16" t="s">
        <v>169</v>
      </c>
      <c r="C33" s="16" t="s">
        <v>170</v>
      </c>
      <c r="D33" s="16" t="s">
        <v>117</v>
      </c>
      <c r="E33" s="25">
        <f>'Store Inventory'!F33</f>
        <v>8</v>
      </c>
      <c r="F33" s="17">
        <f>SUMIF('Recipe Master'!$D$4:$D$146,A33,'Recipe Master'!$J$4:$J$146)</f>
        <v>29</v>
      </c>
      <c r="G33" s="17">
        <f>SUMIF('Sub-Recipe'!$D$4:$D$67,A33,'Sub-Recipe'!$N$4:$N$67)</f>
        <v>0</v>
      </c>
      <c r="H33" s="37">
        <f t="shared" ref="H33:H41" si="12">F33+G33</f>
        <v>29</v>
      </c>
      <c r="I33" s="38">
        <f t="shared" ref="I33:I41" si="13">H33*E33</f>
        <v>232</v>
      </c>
      <c r="J33" s="26">
        <f>'Store Issue'!P34</f>
        <v>280</v>
      </c>
      <c r="K33" s="38">
        <f t="shared" ref="K33:K41" si="14">J33*E33</f>
        <v>2240</v>
      </c>
      <c r="L33" s="17">
        <f t="shared" ref="L33:L41" si="15">J33-H33</f>
        <v>251</v>
      </c>
      <c r="M33" s="19">
        <f t="shared" ref="M33:M41" si="16">K33-I33</f>
        <v>2008</v>
      </c>
      <c r="N33" s="51">
        <f t="shared" ref="N33:N41" si="17">IFERROR(L33/H33,0)</f>
        <v>8.6551724137931032</v>
      </c>
    </row>
    <row r="34" spans="1:14" x14ac:dyDescent="0.3">
      <c r="A34" s="16" t="s">
        <v>171</v>
      </c>
      <c r="B34" s="16" t="s">
        <v>172</v>
      </c>
      <c r="C34" s="16" t="s">
        <v>170</v>
      </c>
      <c r="D34" s="16" t="s">
        <v>117</v>
      </c>
      <c r="E34" s="25">
        <f>'Store Inventory'!F34</f>
        <v>15</v>
      </c>
      <c r="F34" s="17">
        <f>SUMIF('Recipe Master'!$D$4:$D$146,A34,'Recipe Master'!$J$4:$J$146)</f>
        <v>24</v>
      </c>
      <c r="G34" s="17">
        <f>SUMIF('Sub-Recipe'!$D$4:$D$67,A34,'Sub-Recipe'!$N$4:$N$67)</f>
        <v>0</v>
      </c>
      <c r="H34" s="37">
        <f t="shared" si="12"/>
        <v>24</v>
      </c>
      <c r="I34" s="38">
        <f t="shared" si="13"/>
        <v>360</v>
      </c>
      <c r="J34" s="26">
        <f>'Store Issue'!P35</f>
        <v>200</v>
      </c>
      <c r="K34" s="38">
        <f t="shared" si="14"/>
        <v>3000</v>
      </c>
      <c r="L34" s="17">
        <f t="shared" si="15"/>
        <v>176</v>
      </c>
      <c r="M34" s="19">
        <f t="shared" si="16"/>
        <v>2640</v>
      </c>
      <c r="N34" s="51">
        <f t="shared" si="17"/>
        <v>7.333333333333333</v>
      </c>
    </row>
    <row r="35" spans="1:14" x14ac:dyDescent="0.3">
      <c r="A35" s="16" t="s">
        <v>173</v>
      </c>
      <c r="B35" s="16" t="s">
        <v>174</v>
      </c>
      <c r="C35" s="16" t="s">
        <v>175</v>
      </c>
      <c r="D35" s="16" t="s">
        <v>117</v>
      </c>
      <c r="E35" s="25">
        <f>'Store Inventory'!F35</f>
        <v>1</v>
      </c>
      <c r="F35" s="17">
        <f>SUMIF('Recipe Master'!$D$4:$D$146,A35,'Recipe Master'!$J$4:$J$146)</f>
        <v>0</v>
      </c>
      <c r="G35" s="17">
        <f>SUMIF('Sub-Recipe'!$D$4:$D$67,A35,'Sub-Recipe'!$N$4:$N$67)</f>
        <v>0</v>
      </c>
      <c r="H35" s="37">
        <f t="shared" si="12"/>
        <v>0</v>
      </c>
      <c r="I35" s="38">
        <f t="shared" si="13"/>
        <v>0</v>
      </c>
      <c r="J35" s="26">
        <f>'Store Issue'!P36</f>
        <v>0</v>
      </c>
      <c r="K35" s="38">
        <f t="shared" si="14"/>
        <v>0</v>
      </c>
      <c r="L35" s="17">
        <f t="shared" si="15"/>
        <v>0</v>
      </c>
      <c r="M35" s="19">
        <f t="shared" si="16"/>
        <v>0</v>
      </c>
      <c r="N35" s="51">
        <f t="shared" si="17"/>
        <v>0</v>
      </c>
    </row>
    <row r="36" spans="1:14" x14ac:dyDescent="0.3">
      <c r="A36" s="16" t="s">
        <v>176</v>
      </c>
      <c r="B36" s="16" t="s">
        <v>177</v>
      </c>
      <c r="C36" s="16" t="s">
        <v>175</v>
      </c>
      <c r="D36" s="16" t="s">
        <v>117</v>
      </c>
      <c r="E36" s="25">
        <f>'Store Inventory'!F36</f>
        <v>1</v>
      </c>
      <c r="F36" s="17">
        <f>SUMIF('Recipe Master'!$D$4:$D$146,A36,'Recipe Master'!$J$4:$J$146)</f>
        <v>0</v>
      </c>
      <c r="G36" s="17">
        <f>SUMIF('Sub-Recipe'!$D$4:$D$67,A36,'Sub-Recipe'!$N$4:$N$67)</f>
        <v>0</v>
      </c>
      <c r="H36" s="37">
        <f t="shared" si="12"/>
        <v>0</v>
      </c>
      <c r="I36" s="38">
        <f t="shared" si="13"/>
        <v>0</v>
      </c>
      <c r="J36" s="26">
        <f>'Store Issue'!P37</f>
        <v>0</v>
      </c>
      <c r="K36" s="38">
        <f t="shared" si="14"/>
        <v>0</v>
      </c>
      <c r="L36" s="17">
        <f t="shared" si="15"/>
        <v>0</v>
      </c>
      <c r="M36" s="19">
        <f t="shared" si="16"/>
        <v>0</v>
      </c>
      <c r="N36" s="51">
        <f t="shared" si="17"/>
        <v>0</v>
      </c>
    </row>
    <row r="37" spans="1:14" x14ac:dyDescent="0.3">
      <c r="A37" s="16" t="s">
        <v>178</v>
      </c>
      <c r="B37" s="16" t="s">
        <v>179</v>
      </c>
      <c r="C37" s="16" t="s">
        <v>180</v>
      </c>
      <c r="D37" s="16" t="s">
        <v>102</v>
      </c>
      <c r="E37" s="25">
        <f>'Store Inventory'!F37</f>
        <v>60</v>
      </c>
      <c r="F37" s="17">
        <f>SUMIF('Recipe Master'!$D$4:$D$146,A37,'Recipe Master'!$J$4:$J$146)</f>
        <v>1.04</v>
      </c>
      <c r="G37" s="17">
        <f>SUMIF('Sub-Recipe'!$D$4:$D$67,A37,'Sub-Recipe'!$N$4:$N$67)</f>
        <v>4.7330000000000005</v>
      </c>
      <c r="H37" s="37">
        <f t="shared" si="12"/>
        <v>5.7730000000000006</v>
      </c>
      <c r="I37" s="38">
        <f t="shared" si="13"/>
        <v>346.38000000000005</v>
      </c>
      <c r="J37" s="26">
        <f>'Store Issue'!P38</f>
        <v>20</v>
      </c>
      <c r="K37" s="38">
        <f t="shared" si="14"/>
        <v>1200</v>
      </c>
      <c r="L37" s="17">
        <f t="shared" si="15"/>
        <v>14.227</v>
      </c>
      <c r="M37" s="19">
        <f t="shared" si="16"/>
        <v>853.61999999999989</v>
      </c>
      <c r="N37" s="51">
        <f t="shared" si="17"/>
        <v>2.464403256539061</v>
      </c>
    </row>
    <row r="38" spans="1:14" x14ac:dyDescent="0.3">
      <c r="A38" s="16" t="s">
        <v>181</v>
      </c>
      <c r="B38" s="16" t="s">
        <v>182</v>
      </c>
      <c r="C38" s="16" t="s">
        <v>180</v>
      </c>
      <c r="D38" s="16" t="s">
        <v>102</v>
      </c>
      <c r="E38" s="25">
        <f>'Store Inventory'!F38</f>
        <v>25</v>
      </c>
      <c r="F38" s="17">
        <f>SUMIF('Recipe Master'!$D$4:$D$146,A38,'Recipe Master'!$J$4:$J$146)</f>
        <v>0</v>
      </c>
      <c r="G38" s="17">
        <f>SUMIF('Sub-Recipe'!$D$4:$D$67,A38,'Sub-Recipe'!$N$4:$N$67)</f>
        <v>0.91999999999999993</v>
      </c>
      <c r="H38" s="37">
        <f t="shared" si="12"/>
        <v>0.91999999999999993</v>
      </c>
      <c r="I38" s="38">
        <f t="shared" si="13"/>
        <v>23</v>
      </c>
      <c r="J38" s="26">
        <f>'Store Issue'!P39</f>
        <v>0</v>
      </c>
      <c r="K38" s="38">
        <f t="shared" si="14"/>
        <v>0</v>
      </c>
      <c r="L38" s="17">
        <f t="shared" si="15"/>
        <v>-0.91999999999999993</v>
      </c>
      <c r="M38" s="19">
        <f t="shared" si="16"/>
        <v>-23</v>
      </c>
      <c r="N38" s="51">
        <f t="shared" si="17"/>
        <v>-1</v>
      </c>
    </row>
    <row r="39" spans="1:14" x14ac:dyDescent="0.3">
      <c r="A39" s="16" t="s">
        <v>183</v>
      </c>
      <c r="B39" s="16" t="s">
        <v>184</v>
      </c>
      <c r="C39" s="16" t="s">
        <v>180</v>
      </c>
      <c r="D39" s="16" t="s">
        <v>147</v>
      </c>
      <c r="E39" s="25">
        <f>'Store Inventory'!F39</f>
        <v>150</v>
      </c>
      <c r="F39" s="17">
        <f>SUMIF('Recipe Master'!$D$4:$D$146,A39,'Recipe Master'!$J$4:$J$146)</f>
        <v>3.5600000000000005</v>
      </c>
      <c r="G39" s="17">
        <f>SUMIF('Sub-Recipe'!$D$4:$D$67,A39,'Sub-Recipe'!$N$4:$N$67)</f>
        <v>1.4784999999999999</v>
      </c>
      <c r="H39" s="37">
        <f t="shared" si="12"/>
        <v>5.0385000000000009</v>
      </c>
      <c r="I39" s="38">
        <f t="shared" si="13"/>
        <v>755.77500000000009</v>
      </c>
      <c r="J39" s="26">
        <f>'Store Issue'!P40</f>
        <v>18</v>
      </c>
      <c r="K39" s="38">
        <f t="shared" si="14"/>
        <v>2700</v>
      </c>
      <c r="L39" s="17">
        <f t="shared" si="15"/>
        <v>12.961499999999999</v>
      </c>
      <c r="M39" s="19">
        <f t="shared" si="16"/>
        <v>1944.2249999999999</v>
      </c>
      <c r="N39" s="51">
        <f t="shared" si="17"/>
        <v>2.5724918130395946</v>
      </c>
    </row>
    <row r="40" spans="1:14" x14ac:dyDescent="0.3">
      <c r="A40" s="16" t="s">
        <v>185</v>
      </c>
      <c r="B40" s="16" t="s">
        <v>186</v>
      </c>
      <c r="C40" s="16" t="s">
        <v>180</v>
      </c>
      <c r="D40" s="16" t="s">
        <v>102</v>
      </c>
      <c r="E40" s="25">
        <f>'Store Inventory'!F40</f>
        <v>400</v>
      </c>
      <c r="F40" s="17">
        <f>SUMIF('Recipe Master'!$D$4:$D$146,A40,'Recipe Master'!$J$4:$J$146)</f>
        <v>0</v>
      </c>
      <c r="G40" s="17">
        <f>SUMIF('Sub-Recipe'!$D$4:$D$67,A40,'Sub-Recipe'!$N$4:$N$67)</f>
        <v>1.012</v>
      </c>
      <c r="H40" s="37">
        <f t="shared" si="12"/>
        <v>1.012</v>
      </c>
      <c r="I40" s="38">
        <f t="shared" si="13"/>
        <v>404.8</v>
      </c>
      <c r="J40" s="26">
        <f>'Store Issue'!P41</f>
        <v>8</v>
      </c>
      <c r="K40" s="38">
        <f t="shared" si="14"/>
        <v>3200</v>
      </c>
      <c r="L40" s="17">
        <f t="shared" si="15"/>
        <v>6.9879999999999995</v>
      </c>
      <c r="M40" s="19">
        <f t="shared" si="16"/>
        <v>2795.2</v>
      </c>
      <c r="N40" s="51">
        <f t="shared" si="17"/>
        <v>6.9051383399209483</v>
      </c>
    </row>
    <row r="41" spans="1:14" x14ac:dyDescent="0.3">
      <c r="A41" s="16" t="s">
        <v>187</v>
      </c>
      <c r="B41" s="16" t="s">
        <v>188</v>
      </c>
      <c r="C41" s="16" t="s">
        <v>180</v>
      </c>
      <c r="D41" s="16" t="s">
        <v>102</v>
      </c>
      <c r="E41" s="25">
        <f>'Store Inventory'!F41</f>
        <v>500</v>
      </c>
      <c r="F41" s="17">
        <f>SUMIF('Recipe Master'!$D$4:$D$146,A41,'Recipe Master'!$J$4:$J$146)</f>
        <v>0</v>
      </c>
      <c r="G41" s="17">
        <f>SUMIF('Sub-Recipe'!$D$4:$D$67,A41,'Sub-Recipe'!$N$4:$N$67)</f>
        <v>0.152</v>
      </c>
      <c r="H41" s="37">
        <f t="shared" si="12"/>
        <v>0.152</v>
      </c>
      <c r="I41" s="38">
        <f t="shared" si="13"/>
        <v>76</v>
      </c>
      <c r="J41" s="26">
        <f>'Store Issue'!P42</f>
        <v>0</v>
      </c>
      <c r="K41" s="38">
        <f t="shared" si="14"/>
        <v>0</v>
      </c>
      <c r="L41" s="17">
        <f t="shared" si="15"/>
        <v>-0.152</v>
      </c>
      <c r="M41" s="19">
        <f t="shared" si="16"/>
        <v>-76</v>
      </c>
      <c r="N41" s="51">
        <f t="shared" si="17"/>
        <v>-1</v>
      </c>
    </row>
  </sheetData>
  <mergeCells count="5">
    <mergeCell ref="A1:N1"/>
    <mergeCell ref="A2:N2"/>
    <mergeCell ref="A4:N4"/>
    <mergeCell ref="A20:N20"/>
    <mergeCell ref="A32:N32"/>
  </mergeCells>
  <conditionalFormatting sqref="M4:M41">
    <cfRule type="colorScale" priority="2">
      <colorScale>
        <cfvo type="min"/>
        <cfvo type="percentile" val="50"/>
        <cfvo type="max"/>
        <color rgb="FFF8CBCB"/>
        <color rgb="FFFFFFFF"/>
        <color rgb="FFD9F0D9"/>
      </colorScale>
    </cfRule>
  </conditionalFormatting>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7B34"/>
  </sheetPr>
  <dimension ref="A1:K41"/>
  <sheetViews>
    <sheetView showGridLines="0" zoomScaleNormal="100" workbookViewId="0">
      <pane ySplit="3" topLeftCell="A4" activePane="bottomLeft" state="frozen"/>
      <selection pane="bottomLeft"/>
    </sheetView>
  </sheetViews>
  <sheetFormatPr defaultColWidth="8.6640625" defaultRowHeight="14.4" x14ac:dyDescent="0.3"/>
  <cols>
    <col min="1" max="1" width="11" customWidth="1"/>
    <col min="2" max="2" width="26" customWidth="1"/>
    <col min="3" max="3" width="18" customWidth="1"/>
    <col min="4" max="4" width="8" customWidth="1"/>
    <col min="5" max="5" width="11" customWidth="1"/>
    <col min="6" max="6" width="15" customWidth="1"/>
    <col min="7" max="7" width="16" customWidth="1"/>
    <col min="8" max="9" width="12" customWidth="1"/>
    <col min="10" max="10" width="10" customWidth="1"/>
    <col min="11" max="11" width="14" customWidth="1"/>
  </cols>
  <sheetData>
    <row r="1" spans="1:11" ht="25.5" customHeight="1" x14ac:dyDescent="0.3">
      <c r="A1" s="14" t="s">
        <v>638</v>
      </c>
      <c r="B1" s="14"/>
      <c r="C1" s="14"/>
      <c r="D1" s="14"/>
      <c r="E1" s="14"/>
      <c r="F1" s="14"/>
      <c r="G1" s="14"/>
      <c r="H1" s="14"/>
      <c r="I1" s="14"/>
      <c r="J1" s="14"/>
    </row>
    <row r="2" spans="1:11" x14ac:dyDescent="0.3">
      <c r="A2" s="13" t="s">
        <v>639</v>
      </c>
      <c r="B2" s="13"/>
      <c r="C2" s="13"/>
      <c r="D2" s="13"/>
      <c r="E2" s="13"/>
      <c r="F2" s="13"/>
      <c r="G2" s="13"/>
      <c r="H2" s="13"/>
      <c r="I2" s="13"/>
      <c r="J2" s="13"/>
    </row>
    <row r="3" spans="1:11" ht="30" customHeight="1" x14ac:dyDescent="0.3">
      <c r="A3" s="15" t="s">
        <v>93</v>
      </c>
      <c r="B3" s="15" t="s">
        <v>94</v>
      </c>
      <c r="C3" s="15" t="s">
        <v>95</v>
      </c>
      <c r="D3" s="15" t="s">
        <v>96</v>
      </c>
      <c r="E3" s="15" t="s">
        <v>441</v>
      </c>
      <c r="F3" s="15" t="s">
        <v>640</v>
      </c>
      <c r="G3" s="15" t="s">
        <v>641</v>
      </c>
      <c r="H3" s="15" t="s">
        <v>642</v>
      </c>
      <c r="I3" s="15" t="s">
        <v>643</v>
      </c>
      <c r="J3" s="15" t="s">
        <v>637</v>
      </c>
      <c r="K3" s="15" t="s">
        <v>194</v>
      </c>
    </row>
    <row r="4" spans="1:11" x14ac:dyDescent="0.3">
      <c r="A4" s="63" t="s">
        <v>98</v>
      </c>
      <c r="B4" s="63"/>
      <c r="C4" s="63"/>
      <c r="D4" s="63"/>
      <c r="E4" s="63"/>
      <c r="F4" s="63"/>
      <c r="G4" s="63"/>
      <c r="H4" s="63"/>
      <c r="I4" s="63"/>
      <c r="J4" s="63"/>
      <c r="K4" s="63"/>
    </row>
    <row r="5" spans="1:11" x14ac:dyDescent="0.3">
      <c r="A5" s="16" t="s">
        <v>99</v>
      </c>
      <c r="B5" s="16" t="s">
        <v>100</v>
      </c>
      <c r="C5" s="16" t="s">
        <v>101</v>
      </c>
      <c r="D5" s="16" t="s">
        <v>102</v>
      </c>
      <c r="E5" s="25">
        <f>'Store Inventory'!F5</f>
        <v>557.35294117647061</v>
      </c>
      <c r="F5" s="26">
        <f>'Kitchen &amp; Bar Receiving'!P6-'Theoretical Consumption'!H5</f>
        <v>1.7999999999999972</v>
      </c>
      <c r="G5" s="24">
        <v>6</v>
      </c>
      <c r="H5" s="37">
        <f t="shared" ref="H5:H19" si="0">G5-F5</f>
        <v>4.2000000000000028</v>
      </c>
      <c r="I5" s="38">
        <f t="shared" ref="I5:I19" si="1">H5*E5</f>
        <v>2340.8823529411779</v>
      </c>
      <c r="J5" s="51">
        <f t="shared" ref="J5:J19" si="2">IFERROR(H5/F5,0)</f>
        <v>2.3333333333333388</v>
      </c>
      <c r="K5" s="39" t="str">
        <f t="shared" ref="K5:K19" si="3">IF(ABS(J5)&lt;=0.03,"OK",IF(ABS(J5)&lt;=0.08,"REVIEW","INVESTIGATE"))</f>
        <v>INVESTIGATE</v>
      </c>
    </row>
    <row r="6" spans="1:11" x14ac:dyDescent="0.3">
      <c r="A6" s="16" t="s">
        <v>103</v>
      </c>
      <c r="B6" s="16" t="s">
        <v>104</v>
      </c>
      <c r="C6" s="16" t="s">
        <v>101</v>
      </c>
      <c r="D6" s="16" t="s">
        <v>102</v>
      </c>
      <c r="E6" s="25">
        <f>'Store Inventory'!F6</f>
        <v>482.66666666666669</v>
      </c>
      <c r="F6" s="26">
        <f>'Kitchen &amp; Bar Receiving'!P7-'Theoretical Consumption'!H6</f>
        <v>-2.2299999999999969</v>
      </c>
      <c r="G6" s="24">
        <v>4</v>
      </c>
      <c r="H6" s="37">
        <f t="shared" si="0"/>
        <v>6.2299999999999969</v>
      </c>
      <c r="I6" s="38">
        <f t="shared" si="1"/>
        <v>3007.013333333332</v>
      </c>
      <c r="J6" s="51">
        <f t="shared" si="2"/>
        <v>-2.7937219730941729</v>
      </c>
      <c r="K6" s="39" t="str">
        <f t="shared" si="3"/>
        <v>INVESTIGATE</v>
      </c>
    </row>
    <row r="7" spans="1:11" x14ac:dyDescent="0.3">
      <c r="A7" s="16" t="s">
        <v>105</v>
      </c>
      <c r="B7" s="16" t="s">
        <v>106</v>
      </c>
      <c r="C7" s="16" t="s">
        <v>101</v>
      </c>
      <c r="D7" s="16" t="s">
        <v>102</v>
      </c>
      <c r="E7" s="25">
        <f>'Store Inventory'!F7</f>
        <v>650</v>
      </c>
      <c r="F7" s="26">
        <f>'Kitchen &amp; Bar Receiving'!P8-'Theoretical Consumption'!H7</f>
        <v>4.46</v>
      </c>
      <c r="G7" s="24">
        <v>0</v>
      </c>
      <c r="H7" s="37">
        <f t="shared" si="0"/>
        <v>-4.46</v>
      </c>
      <c r="I7" s="38">
        <f t="shared" si="1"/>
        <v>-2899</v>
      </c>
      <c r="J7" s="51">
        <f t="shared" si="2"/>
        <v>-1</v>
      </c>
      <c r="K7" s="39" t="str">
        <f t="shared" si="3"/>
        <v>INVESTIGATE</v>
      </c>
    </row>
    <row r="8" spans="1:11" x14ac:dyDescent="0.3">
      <c r="A8" s="16" t="s">
        <v>107</v>
      </c>
      <c r="B8" s="16" t="s">
        <v>108</v>
      </c>
      <c r="C8" s="16" t="s">
        <v>109</v>
      </c>
      <c r="D8" s="16" t="s">
        <v>102</v>
      </c>
      <c r="E8" s="25">
        <f>'Store Inventory'!F8</f>
        <v>60</v>
      </c>
      <c r="F8" s="26">
        <f>'Kitchen &amp; Bar Receiving'!P9-'Theoretical Consumption'!H8</f>
        <v>7.6699999999999982</v>
      </c>
      <c r="G8" s="24">
        <v>3</v>
      </c>
      <c r="H8" s="37">
        <f t="shared" si="0"/>
        <v>-4.6699999999999982</v>
      </c>
      <c r="I8" s="38">
        <f t="shared" si="1"/>
        <v>-280.19999999999987</v>
      </c>
      <c r="J8" s="51">
        <f t="shared" si="2"/>
        <v>-0.60886571056062577</v>
      </c>
      <c r="K8" s="39" t="str">
        <f t="shared" si="3"/>
        <v>INVESTIGATE</v>
      </c>
    </row>
    <row r="9" spans="1:11" x14ac:dyDescent="0.3">
      <c r="A9" s="16" t="s">
        <v>110</v>
      </c>
      <c r="B9" s="16" t="s">
        <v>111</v>
      </c>
      <c r="C9" s="16" t="s">
        <v>109</v>
      </c>
      <c r="D9" s="16" t="s">
        <v>102</v>
      </c>
      <c r="E9" s="25">
        <f>'Store Inventory'!F9</f>
        <v>56</v>
      </c>
      <c r="F9" s="26">
        <f>'Kitchen &amp; Bar Receiving'!P10-'Theoretical Consumption'!H9</f>
        <v>2.5450000000000017</v>
      </c>
      <c r="G9" s="24">
        <v>3</v>
      </c>
      <c r="H9" s="37">
        <f t="shared" si="0"/>
        <v>0.45499999999999829</v>
      </c>
      <c r="I9" s="38">
        <f t="shared" si="1"/>
        <v>25.479999999999905</v>
      </c>
      <c r="J9" s="51">
        <f t="shared" si="2"/>
        <v>0.1787819253438106</v>
      </c>
      <c r="K9" s="39" t="str">
        <f t="shared" si="3"/>
        <v>INVESTIGATE</v>
      </c>
    </row>
    <row r="10" spans="1:11" x14ac:dyDescent="0.3">
      <c r="A10" s="16" t="s">
        <v>112</v>
      </c>
      <c r="B10" s="16" t="s">
        <v>113</v>
      </c>
      <c r="C10" s="16" t="s">
        <v>109</v>
      </c>
      <c r="D10" s="16" t="s">
        <v>102</v>
      </c>
      <c r="E10" s="25">
        <f>'Store Inventory'!F10</f>
        <v>40</v>
      </c>
      <c r="F10" s="26">
        <f>'Kitchen &amp; Bar Receiving'!P11-'Theoretical Consumption'!H10</f>
        <v>1.4250000000000007</v>
      </c>
      <c r="G10" s="24">
        <v>0</v>
      </c>
      <c r="H10" s="37">
        <f t="shared" si="0"/>
        <v>-1.4250000000000007</v>
      </c>
      <c r="I10" s="38">
        <f t="shared" si="1"/>
        <v>-57.000000000000028</v>
      </c>
      <c r="J10" s="51">
        <f t="shared" si="2"/>
        <v>-1</v>
      </c>
      <c r="K10" s="39" t="str">
        <f t="shared" si="3"/>
        <v>INVESTIGATE</v>
      </c>
    </row>
    <row r="11" spans="1:11" x14ac:dyDescent="0.3">
      <c r="A11" s="16" t="s">
        <v>114</v>
      </c>
      <c r="B11" s="16" t="s">
        <v>115</v>
      </c>
      <c r="C11" s="16" t="s">
        <v>116</v>
      </c>
      <c r="D11" s="16" t="s">
        <v>117</v>
      </c>
      <c r="E11" s="25">
        <f>'Store Inventory'!F11</f>
        <v>12</v>
      </c>
      <c r="F11" s="26">
        <f>'Kitchen &amp; Bar Receiving'!P12-'Theoretical Consumption'!H11</f>
        <v>-120</v>
      </c>
      <c r="G11" s="24">
        <v>0</v>
      </c>
      <c r="H11" s="37">
        <f t="shared" si="0"/>
        <v>120</v>
      </c>
      <c r="I11" s="38">
        <f t="shared" si="1"/>
        <v>1440</v>
      </c>
      <c r="J11" s="51">
        <f t="shared" si="2"/>
        <v>-1</v>
      </c>
      <c r="K11" s="39" t="str">
        <f t="shared" si="3"/>
        <v>INVESTIGATE</v>
      </c>
    </row>
    <row r="12" spans="1:11" x14ac:dyDescent="0.3">
      <c r="A12" s="16" t="s">
        <v>118</v>
      </c>
      <c r="B12" s="16" t="s">
        <v>119</v>
      </c>
      <c r="C12" s="16" t="s">
        <v>120</v>
      </c>
      <c r="D12" s="16" t="s">
        <v>102</v>
      </c>
      <c r="E12" s="25">
        <f>'Store Inventory'!F12</f>
        <v>55</v>
      </c>
      <c r="F12" s="26">
        <f>'Kitchen &amp; Bar Receiving'!P13-'Theoretical Consumption'!H12</f>
        <v>-24.5</v>
      </c>
      <c r="G12" s="24">
        <v>0</v>
      </c>
      <c r="H12" s="37">
        <f t="shared" si="0"/>
        <v>24.5</v>
      </c>
      <c r="I12" s="38">
        <f t="shared" si="1"/>
        <v>1347.5</v>
      </c>
      <c r="J12" s="51">
        <f t="shared" si="2"/>
        <v>-1</v>
      </c>
      <c r="K12" s="39" t="str">
        <f t="shared" si="3"/>
        <v>INVESTIGATE</v>
      </c>
    </row>
    <row r="13" spans="1:11" x14ac:dyDescent="0.3">
      <c r="A13" s="16" t="s">
        <v>121</v>
      </c>
      <c r="B13" s="16" t="s">
        <v>122</v>
      </c>
      <c r="C13" s="16" t="s">
        <v>116</v>
      </c>
      <c r="D13" s="16" t="s">
        <v>102</v>
      </c>
      <c r="E13" s="25">
        <f>'Store Inventory'!F13</f>
        <v>480</v>
      </c>
      <c r="F13" s="26">
        <f>'Kitchen &amp; Bar Receiving'!P14-'Theoretical Consumption'!H13</f>
        <v>-5.2780000000000005</v>
      </c>
      <c r="G13" s="24">
        <v>1.5</v>
      </c>
      <c r="H13" s="37">
        <f t="shared" si="0"/>
        <v>6.7780000000000005</v>
      </c>
      <c r="I13" s="38">
        <f t="shared" si="1"/>
        <v>3253.44</v>
      </c>
      <c r="J13" s="51">
        <f t="shared" si="2"/>
        <v>-1.2841985600606289</v>
      </c>
      <c r="K13" s="39" t="str">
        <f t="shared" si="3"/>
        <v>INVESTIGATE</v>
      </c>
    </row>
    <row r="14" spans="1:11" x14ac:dyDescent="0.3">
      <c r="A14" s="16" t="s">
        <v>123</v>
      </c>
      <c r="B14" s="16" t="s">
        <v>124</v>
      </c>
      <c r="C14" s="16" t="s">
        <v>116</v>
      </c>
      <c r="D14" s="16" t="s">
        <v>117</v>
      </c>
      <c r="E14" s="25">
        <f>'Store Inventory'!F14</f>
        <v>8</v>
      </c>
      <c r="F14" s="26">
        <f>'Kitchen &amp; Bar Receiving'!P15-'Theoretical Consumption'!H14</f>
        <v>-11.599999999999994</v>
      </c>
      <c r="G14" s="24">
        <v>0</v>
      </c>
      <c r="H14" s="37">
        <f t="shared" si="0"/>
        <v>11.599999999999994</v>
      </c>
      <c r="I14" s="38">
        <f t="shared" si="1"/>
        <v>92.799999999999955</v>
      </c>
      <c r="J14" s="51">
        <f t="shared" si="2"/>
        <v>-1</v>
      </c>
      <c r="K14" s="39" t="str">
        <f t="shared" si="3"/>
        <v>INVESTIGATE</v>
      </c>
    </row>
    <row r="15" spans="1:11" x14ac:dyDescent="0.3">
      <c r="A15" s="16" t="s">
        <v>125</v>
      </c>
      <c r="B15" s="16" t="s">
        <v>126</v>
      </c>
      <c r="C15" s="16" t="s">
        <v>120</v>
      </c>
      <c r="D15" s="16" t="s">
        <v>102</v>
      </c>
      <c r="E15" s="25">
        <f>'Store Inventory'!F15</f>
        <v>120</v>
      </c>
      <c r="F15" s="26">
        <f>'Kitchen &amp; Bar Receiving'!P16-'Theoretical Consumption'!H15</f>
        <v>-4.8000000000000043</v>
      </c>
      <c r="G15" s="24">
        <v>0</v>
      </c>
      <c r="H15" s="37">
        <f t="shared" si="0"/>
        <v>4.8000000000000043</v>
      </c>
      <c r="I15" s="38">
        <f t="shared" si="1"/>
        <v>576.00000000000045</v>
      </c>
      <c r="J15" s="51">
        <f t="shared" si="2"/>
        <v>-1</v>
      </c>
      <c r="K15" s="39" t="str">
        <f t="shared" si="3"/>
        <v>INVESTIGATE</v>
      </c>
    </row>
    <row r="16" spans="1:11" x14ac:dyDescent="0.3">
      <c r="A16" s="16" t="s">
        <v>127</v>
      </c>
      <c r="B16" s="16" t="s">
        <v>128</v>
      </c>
      <c r="C16" s="16" t="s">
        <v>120</v>
      </c>
      <c r="D16" s="16" t="s">
        <v>117</v>
      </c>
      <c r="E16" s="25">
        <f>'Store Inventory'!F16</f>
        <v>15</v>
      </c>
      <c r="F16" s="26">
        <f>'Kitchen &amp; Bar Receiving'!P17-'Theoretical Consumption'!H16</f>
        <v>-54</v>
      </c>
      <c r="G16" s="24">
        <v>0</v>
      </c>
      <c r="H16" s="37">
        <f t="shared" si="0"/>
        <v>54</v>
      </c>
      <c r="I16" s="38">
        <f t="shared" si="1"/>
        <v>810</v>
      </c>
      <c r="J16" s="51">
        <f t="shared" si="2"/>
        <v>-1</v>
      </c>
      <c r="K16" s="39" t="str">
        <f t="shared" si="3"/>
        <v>INVESTIGATE</v>
      </c>
    </row>
    <row r="17" spans="1:11" x14ac:dyDescent="0.3">
      <c r="A17" s="16" t="s">
        <v>129</v>
      </c>
      <c r="B17" s="16" t="s">
        <v>130</v>
      </c>
      <c r="C17" s="16" t="s">
        <v>131</v>
      </c>
      <c r="D17" s="16" t="s">
        <v>102</v>
      </c>
      <c r="E17" s="25">
        <f>'Store Inventory'!F17</f>
        <v>220</v>
      </c>
      <c r="F17" s="26">
        <f>'Kitchen &amp; Bar Receiving'!P18-'Theoretical Consumption'!H17</f>
        <v>8.08</v>
      </c>
      <c r="G17" s="24">
        <v>0</v>
      </c>
      <c r="H17" s="37">
        <f t="shared" si="0"/>
        <v>-8.08</v>
      </c>
      <c r="I17" s="38">
        <f t="shared" si="1"/>
        <v>-1777.6</v>
      </c>
      <c r="J17" s="51">
        <f t="shared" si="2"/>
        <v>-1</v>
      </c>
      <c r="K17" s="39" t="str">
        <f t="shared" si="3"/>
        <v>INVESTIGATE</v>
      </c>
    </row>
    <row r="18" spans="1:11" x14ac:dyDescent="0.3">
      <c r="A18" s="16" t="s">
        <v>132</v>
      </c>
      <c r="B18" s="16" t="s">
        <v>133</v>
      </c>
      <c r="C18" s="16" t="s">
        <v>131</v>
      </c>
      <c r="D18" s="16" t="s">
        <v>102</v>
      </c>
      <c r="E18" s="25">
        <f>'Store Inventory'!F18</f>
        <v>180</v>
      </c>
      <c r="F18" s="26">
        <f>'Kitchen &amp; Bar Receiving'!P19-'Theoretical Consumption'!H18</f>
        <v>14.98</v>
      </c>
      <c r="G18" s="24">
        <v>0</v>
      </c>
      <c r="H18" s="37">
        <f t="shared" si="0"/>
        <v>-14.98</v>
      </c>
      <c r="I18" s="38">
        <f t="shared" si="1"/>
        <v>-2696.4</v>
      </c>
      <c r="J18" s="51">
        <f t="shared" si="2"/>
        <v>-1</v>
      </c>
      <c r="K18" s="39" t="str">
        <f t="shared" si="3"/>
        <v>INVESTIGATE</v>
      </c>
    </row>
    <row r="19" spans="1:11" x14ac:dyDescent="0.3">
      <c r="A19" s="16" t="s">
        <v>134</v>
      </c>
      <c r="B19" s="16" t="s">
        <v>135</v>
      </c>
      <c r="C19" s="16" t="s">
        <v>116</v>
      </c>
      <c r="D19" s="16" t="s">
        <v>102</v>
      </c>
      <c r="E19" s="25">
        <f>'Store Inventory'!F19</f>
        <v>620</v>
      </c>
      <c r="F19" s="26">
        <f>'Kitchen &amp; Bar Receiving'!P20-'Theoretical Consumption'!H19</f>
        <v>-3.09</v>
      </c>
      <c r="G19" s="24">
        <v>0</v>
      </c>
      <c r="H19" s="37">
        <f t="shared" si="0"/>
        <v>3.09</v>
      </c>
      <c r="I19" s="38">
        <f t="shared" si="1"/>
        <v>1915.8</v>
      </c>
      <c r="J19" s="51">
        <f t="shared" si="2"/>
        <v>-1</v>
      </c>
      <c r="K19" s="39" t="str">
        <f t="shared" si="3"/>
        <v>INVESTIGATE</v>
      </c>
    </row>
    <row r="20" spans="1:11" x14ac:dyDescent="0.3">
      <c r="A20" s="63" t="s">
        <v>136</v>
      </c>
      <c r="B20" s="63"/>
      <c r="C20" s="63"/>
      <c r="D20" s="63"/>
      <c r="E20" s="63"/>
      <c r="F20" s="63"/>
      <c r="G20" s="63"/>
      <c r="H20" s="63"/>
      <c r="I20" s="63"/>
      <c r="J20" s="63"/>
      <c r="K20" s="63"/>
    </row>
    <row r="21" spans="1:11" x14ac:dyDescent="0.3">
      <c r="A21" s="16" t="s">
        <v>137</v>
      </c>
      <c r="B21" s="16" t="s">
        <v>138</v>
      </c>
      <c r="C21" s="16" t="s">
        <v>139</v>
      </c>
      <c r="D21" s="16" t="s">
        <v>102</v>
      </c>
      <c r="E21" s="25">
        <f>'Store Inventory'!F21</f>
        <v>900</v>
      </c>
      <c r="F21" s="26">
        <f>'Kitchen &amp; Bar Receiving'!P22-'Theoretical Consumption'!H21</f>
        <v>9.7080000000000002</v>
      </c>
      <c r="G21" s="24">
        <v>0</v>
      </c>
      <c r="H21" s="37">
        <f t="shared" ref="H21:H31" si="4">G21-F21</f>
        <v>-9.7080000000000002</v>
      </c>
      <c r="I21" s="38">
        <f t="shared" ref="I21:I31" si="5">H21*E21</f>
        <v>-8737.2000000000007</v>
      </c>
      <c r="J21" s="51">
        <f t="shared" ref="J21:J31" si="6">IFERROR(H21/F21,0)</f>
        <v>-1</v>
      </c>
      <c r="K21" s="39" t="str">
        <f t="shared" ref="K21:K31" si="7">IF(ABS(J21)&lt;=0.03,"OK",IF(ABS(J21)&lt;=0.08,"REVIEW","INVESTIGATE"))</f>
        <v>INVESTIGATE</v>
      </c>
    </row>
    <row r="22" spans="1:11" x14ac:dyDescent="0.3">
      <c r="A22" s="16" t="s">
        <v>140</v>
      </c>
      <c r="B22" s="16" t="s">
        <v>141</v>
      </c>
      <c r="C22" s="16" t="s">
        <v>139</v>
      </c>
      <c r="D22" s="16" t="s">
        <v>117</v>
      </c>
      <c r="E22" s="25">
        <f>'Store Inventory'!F22</f>
        <v>3</v>
      </c>
      <c r="F22" s="26">
        <f>'Kitchen &amp; Bar Receiving'!P23-'Theoretical Consumption'!H22</f>
        <v>-74</v>
      </c>
      <c r="G22" s="24">
        <v>0</v>
      </c>
      <c r="H22" s="37">
        <f t="shared" si="4"/>
        <v>74</v>
      </c>
      <c r="I22" s="38">
        <f t="shared" si="5"/>
        <v>222</v>
      </c>
      <c r="J22" s="51">
        <f t="shared" si="6"/>
        <v>-1</v>
      </c>
      <c r="K22" s="39" t="str">
        <f t="shared" si="7"/>
        <v>INVESTIGATE</v>
      </c>
    </row>
    <row r="23" spans="1:11" x14ac:dyDescent="0.3">
      <c r="A23" s="16" t="s">
        <v>142</v>
      </c>
      <c r="B23" s="16" t="s">
        <v>143</v>
      </c>
      <c r="C23" s="16" t="s">
        <v>139</v>
      </c>
      <c r="D23" s="16" t="s">
        <v>117</v>
      </c>
      <c r="E23" s="25">
        <f>'Store Inventory'!F23</f>
        <v>4</v>
      </c>
      <c r="F23" s="26">
        <f>'Kitchen &amp; Bar Receiving'!P24-'Theoretical Consumption'!H23</f>
        <v>-53</v>
      </c>
      <c r="G23" s="24">
        <v>0</v>
      </c>
      <c r="H23" s="37">
        <f t="shared" si="4"/>
        <v>53</v>
      </c>
      <c r="I23" s="38">
        <f t="shared" si="5"/>
        <v>212</v>
      </c>
      <c r="J23" s="51">
        <f t="shared" si="6"/>
        <v>-1</v>
      </c>
      <c r="K23" s="39" t="str">
        <f t="shared" si="7"/>
        <v>INVESTIGATE</v>
      </c>
    </row>
    <row r="24" spans="1:11" x14ac:dyDescent="0.3">
      <c r="A24" s="16" t="s">
        <v>144</v>
      </c>
      <c r="B24" s="16" t="s">
        <v>145</v>
      </c>
      <c r="C24" s="16" t="s">
        <v>146</v>
      </c>
      <c r="D24" s="16" t="s">
        <v>147</v>
      </c>
      <c r="E24" s="25">
        <f>'Store Inventory'!F24</f>
        <v>65.461538461538467</v>
      </c>
      <c r="F24" s="26">
        <f>'Kitchen &amp; Bar Receiving'!P25-'Theoretical Consumption'!H24</f>
        <v>39.15</v>
      </c>
      <c r="G24" s="24">
        <v>9</v>
      </c>
      <c r="H24" s="37">
        <f t="shared" si="4"/>
        <v>-30.15</v>
      </c>
      <c r="I24" s="38">
        <f t="shared" si="5"/>
        <v>-1973.6653846153847</v>
      </c>
      <c r="J24" s="51">
        <f t="shared" si="6"/>
        <v>-0.77011494252873558</v>
      </c>
      <c r="K24" s="39" t="str">
        <f t="shared" si="7"/>
        <v>INVESTIGATE</v>
      </c>
    </row>
    <row r="25" spans="1:11" x14ac:dyDescent="0.3">
      <c r="A25" s="16" t="s">
        <v>148</v>
      </c>
      <c r="B25" s="16" t="s">
        <v>149</v>
      </c>
      <c r="C25" s="16" t="s">
        <v>139</v>
      </c>
      <c r="D25" s="16" t="s">
        <v>102</v>
      </c>
      <c r="E25" s="25">
        <f>'Store Inventory'!F25</f>
        <v>350</v>
      </c>
      <c r="F25" s="26">
        <f>'Kitchen &amp; Bar Receiving'!P26-'Theoretical Consumption'!H25</f>
        <v>-1.56</v>
      </c>
      <c r="G25" s="24">
        <v>0</v>
      </c>
      <c r="H25" s="37">
        <f t="shared" si="4"/>
        <v>1.56</v>
      </c>
      <c r="I25" s="38">
        <f t="shared" si="5"/>
        <v>546</v>
      </c>
      <c r="J25" s="51">
        <f t="shared" si="6"/>
        <v>-1</v>
      </c>
      <c r="K25" s="39" t="str">
        <f t="shared" si="7"/>
        <v>INVESTIGATE</v>
      </c>
    </row>
    <row r="26" spans="1:11" x14ac:dyDescent="0.3">
      <c r="A26" s="16" t="s">
        <v>150</v>
      </c>
      <c r="B26" s="16" t="s">
        <v>151</v>
      </c>
      <c r="C26" s="16" t="s">
        <v>152</v>
      </c>
      <c r="D26" s="16" t="s">
        <v>147</v>
      </c>
      <c r="E26" s="25">
        <f>'Store Inventory'!F26</f>
        <v>950</v>
      </c>
      <c r="F26" s="26">
        <f>'Kitchen &amp; Bar Receiving'!P27-'Theoretical Consumption'!H26</f>
        <v>0.75</v>
      </c>
      <c r="G26" s="24">
        <v>0</v>
      </c>
      <c r="H26" s="37">
        <f t="shared" si="4"/>
        <v>-0.75</v>
      </c>
      <c r="I26" s="38">
        <f t="shared" si="5"/>
        <v>-712.5</v>
      </c>
      <c r="J26" s="51">
        <f t="shared" si="6"/>
        <v>-1</v>
      </c>
      <c r="K26" s="39" t="str">
        <f t="shared" si="7"/>
        <v>INVESTIGATE</v>
      </c>
    </row>
    <row r="27" spans="1:11" x14ac:dyDescent="0.3">
      <c r="A27" s="16" t="s">
        <v>153</v>
      </c>
      <c r="B27" s="16" t="s">
        <v>154</v>
      </c>
      <c r="C27" s="16" t="s">
        <v>155</v>
      </c>
      <c r="D27" s="16" t="s">
        <v>102</v>
      </c>
      <c r="E27" s="25">
        <f>'Store Inventory'!F27</f>
        <v>150</v>
      </c>
      <c r="F27" s="26">
        <f>'Kitchen &amp; Bar Receiving'!P28-'Theoretical Consumption'!H27</f>
        <v>-0.52500000000000002</v>
      </c>
      <c r="G27" s="24">
        <v>0</v>
      </c>
      <c r="H27" s="37">
        <f t="shared" si="4"/>
        <v>0.52500000000000002</v>
      </c>
      <c r="I27" s="38">
        <f t="shared" si="5"/>
        <v>78.75</v>
      </c>
      <c r="J27" s="51">
        <f t="shared" si="6"/>
        <v>-1</v>
      </c>
      <c r="K27" s="39" t="str">
        <f t="shared" si="7"/>
        <v>INVESTIGATE</v>
      </c>
    </row>
    <row r="28" spans="1:11" x14ac:dyDescent="0.3">
      <c r="A28" s="16" t="s">
        <v>156</v>
      </c>
      <c r="B28" s="16" t="s">
        <v>157</v>
      </c>
      <c r="C28" s="16" t="s">
        <v>155</v>
      </c>
      <c r="D28" s="16" t="s">
        <v>102</v>
      </c>
      <c r="E28" s="25">
        <f>'Store Inventory'!F28</f>
        <v>100</v>
      </c>
      <c r="F28" s="26">
        <f>'Kitchen &amp; Bar Receiving'!P29-'Theoretical Consumption'!H28</f>
        <v>1.2050000000000001</v>
      </c>
      <c r="G28" s="24">
        <v>0</v>
      </c>
      <c r="H28" s="37">
        <f t="shared" si="4"/>
        <v>-1.2050000000000001</v>
      </c>
      <c r="I28" s="38">
        <f t="shared" si="5"/>
        <v>-120.5</v>
      </c>
      <c r="J28" s="51">
        <f t="shared" si="6"/>
        <v>-1</v>
      </c>
      <c r="K28" s="39" t="str">
        <f t="shared" si="7"/>
        <v>INVESTIGATE</v>
      </c>
    </row>
    <row r="29" spans="1:11" x14ac:dyDescent="0.3">
      <c r="A29" s="16" t="s">
        <v>158</v>
      </c>
      <c r="B29" s="16" t="s">
        <v>159</v>
      </c>
      <c r="C29" s="16" t="s">
        <v>109</v>
      </c>
      <c r="D29" s="16" t="s">
        <v>102</v>
      </c>
      <c r="E29" s="25">
        <f>'Store Inventory'!F29</f>
        <v>90</v>
      </c>
      <c r="F29" s="26">
        <f>'Kitchen &amp; Bar Receiving'!P30-'Theoretical Consumption'!H29</f>
        <v>-5.9499999999999993</v>
      </c>
      <c r="G29" s="24">
        <v>0</v>
      </c>
      <c r="H29" s="37">
        <f t="shared" si="4"/>
        <v>5.9499999999999993</v>
      </c>
      <c r="I29" s="38">
        <f t="shared" si="5"/>
        <v>535.49999999999989</v>
      </c>
      <c r="J29" s="51">
        <f t="shared" si="6"/>
        <v>-1</v>
      </c>
      <c r="K29" s="39" t="str">
        <f t="shared" si="7"/>
        <v>INVESTIGATE</v>
      </c>
    </row>
    <row r="30" spans="1:11" x14ac:dyDescent="0.3">
      <c r="A30" s="16" t="s">
        <v>160</v>
      </c>
      <c r="B30" s="16" t="s">
        <v>161</v>
      </c>
      <c r="C30" s="16" t="s">
        <v>162</v>
      </c>
      <c r="D30" s="16" t="s">
        <v>147</v>
      </c>
      <c r="E30" s="25">
        <f>'Store Inventory'!F30</f>
        <v>45</v>
      </c>
      <c r="F30" s="26">
        <f>'Kitchen &amp; Bar Receiving'!P31-'Theoretical Consumption'!H30</f>
        <v>2.25</v>
      </c>
      <c r="G30" s="24">
        <v>0</v>
      </c>
      <c r="H30" s="37">
        <f t="shared" si="4"/>
        <v>-2.25</v>
      </c>
      <c r="I30" s="38">
        <f t="shared" si="5"/>
        <v>-101.25</v>
      </c>
      <c r="J30" s="51">
        <f t="shared" si="6"/>
        <v>-1</v>
      </c>
      <c r="K30" s="39" t="str">
        <f t="shared" si="7"/>
        <v>INVESTIGATE</v>
      </c>
    </row>
    <row r="31" spans="1:11" x14ac:dyDescent="0.3">
      <c r="A31" s="16" t="s">
        <v>163</v>
      </c>
      <c r="B31" s="16" t="s">
        <v>164</v>
      </c>
      <c r="C31" s="16" t="s">
        <v>165</v>
      </c>
      <c r="D31" s="16" t="s">
        <v>166</v>
      </c>
      <c r="E31" s="25">
        <f>'Store Inventory'!F31</f>
        <v>35</v>
      </c>
      <c r="F31" s="26">
        <f>'Kitchen &amp; Bar Receiving'!P32-'Theoretical Consumption'!H31</f>
        <v>47</v>
      </c>
      <c r="G31" s="24">
        <v>0</v>
      </c>
      <c r="H31" s="37">
        <f t="shared" si="4"/>
        <v>-47</v>
      </c>
      <c r="I31" s="38">
        <f t="shared" si="5"/>
        <v>-1645</v>
      </c>
      <c r="J31" s="51">
        <f t="shared" si="6"/>
        <v>-1</v>
      </c>
      <c r="K31" s="39" t="str">
        <f t="shared" si="7"/>
        <v>INVESTIGATE</v>
      </c>
    </row>
    <row r="32" spans="1:11" x14ac:dyDescent="0.3">
      <c r="A32" s="63" t="s">
        <v>167</v>
      </c>
      <c r="B32" s="63"/>
      <c r="C32" s="63"/>
      <c r="D32" s="63"/>
      <c r="E32" s="63"/>
      <c r="F32" s="63"/>
      <c r="G32" s="63"/>
      <c r="H32" s="63"/>
      <c r="I32" s="63"/>
      <c r="J32" s="63"/>
      <c r="K32" s="63"/>
    </row>
    <row r="33" spans="1:11" x14ac:dyDescent="0.3">
      <c r="A33" s="16" t="s">
        <v>168</v>
      </c>
      <c r="B33" s="16" t="s">
        <v>169</v>
      </c>
      <c r="C33" s="16" t="s">
        <v>170</v>
      </c>
      <c r="D33" s="16" t="s">
        <v>117</v>
      </c>
      <c r="E33" s="25">
        <f>'Store Inventory'!F33</f>
        <v>8</v>
      </c>
      <c r="F33" s="26">
        <f>'Kitchen &amp; Bar Receiving'!P34-'Theoretical Consumption'!H33</f>
        <v>251</v>
      </c>
      <c r="G33" s="24">
        <v>0</v>
      </c>
      <c r="H33" s="37">
        <f t="shared" ref="H33:H41" si="8">G33-F33</f>
        <v>-251</v>
      </c>
      <c r="I33" s="38">
        <f t="shared" ref="I33:I41" si="9">H33*E33</f>
        <v>-2008</v>
      </c>
      <c r="J33" s="51">
        <f t="shared" ref="J33:J41" si="10">IFERROR(H33/F33,0)</f>
        <v>-1</v>
      </c>
      <c r="K33" s="39" t="str">
        <f t="shared" ref="K33:K41" si="11">IF(ABS(J33)&lt;=0.03,"OK",IF(ABS(J33)&lt;=0.08,"REVIEW","INVESTIGATE"))</f>
        <v>INVESTIGATE</v>
      </c>
    </row>
    <row r="34" spans="1:11" x14ac:dyDescent="0.3">
      <c r="A34" s="16" t="s">
        <v>171</v>
      </c>
      <c r="B34" s="16" t="s">
        <v>172</v>
      </c>
      <c r="C34" s="16" t="s">
        <v>170</v>
      </c>
      <c r="D34" s="16" t="s">
        <v>117</v>
      </c>
      <c r="E34" s="25">
        <f>'Store Inventory'!F34</f>
        <v>15</v>
      </c>
      <c r="F34" s="26">
        <f>'Kitchen &amp; Bar Receiving'!P35-'Theoretical Consumption'!H34</f>
        <v>176</v>
      </c>
      <c r="G34" s="24">
        <v>0</v>
      </c>
      <c r="H34" s="37">
        <f t="shared" si="8"/>
        <v>-176</v>
      </c>
      <c r="I34" s="38">
        <f t="shared" si="9"/>
        <v>-2640</v>
      </c>
      <c r="J34" s="51">
        <f t="shared" si="10"/>
        <v>-1</v>
      </c>
      <c r="K34" s="39" t="str">
        <f t="shared" si="11"/>
        <v>INVESTIGATE</v>
      </c>
    </row>
    <row r="35" spans="1:11" x14ac:dyDescent="0.3">
      <c r="A35" s="16" t="s">
        <v>173</v>
      </c>
      <c r="B35" s="16" t="s">
        <v>174</v>
      </c>
      <c r="C35" s="16" t="s">
        <v>175</v>
      </c>
      <c r="D35" s="16" t="s">
        <v>117</v>
      </c>
      <c r="E35" s="25">
        <f>'Store Inventory'!F35</f>
        <v>1</v>
      </c>
      <c r="F35" s="26">
        <f>'Kitchen &amp; Bar Receiving'!P36-'Theoretical Consumption'!H35</f>
        <v>0</v>
      </c>
      <c r="G35" s="24">
        <v>0</v>
      </c>
      <c r="H35" s="37">
        <f t="shared" si="8"/>
        <v>0</v>
      </c>
      <c r="I35" s="38">
        <f t="shared" si="9"/>
        <v>0</v>
      </c>
      <c r="J35" s="51">
        <f t="shared" si="10"/>
        <v>0</v>
      </c>
      <c r="K35" s="39" t="str">
        <f t="shared" si="11"/>
        <v>OK</v>
      </c>
    </row>
    <row r="36" spans="1:11" x14ac:dyDescent="0.3">
      <c r="A36" s="16" t="s">
        <v>176</v>
      </c>
      <c r="B36" s="16" t="s">
        <v>177</v>
      </c>
      <c r="C36" s="16" t="s">
        <v>175</v>
      </c>
      <c r="D36" s="16" t="s">
        <v>117</v>
      </c>
      <c r="E36" s="25">
        <f>'Store Inventory'!F36</f>
        <v>1</v>
      </c>
      <c r="F36" s="26">
        <f>'Kitchen &amp; Bar Receiving'!P37-'Theoretical Consumption'!H36</f>
        <v>0</v>
      </c>
      <c r="G36" s="24">
        <v>0</v>
      </c>
      <c r="H36" s="37">
        <f t="shared" si="8"/>
        <v>0</v>
      </c>
      <c r="I36" s="38">
        <f t="shared" si="9"/>
        <v>0</v>
      </c>
      <c r="J36" s="51">
        <f t="shared" si="10"/>
        <v>0</v>
      </c>
      <c r="K36" s="39" t="str">
        <f t="shared" si="11"/>
        <v>OK</v>
      </c>
    </row>
    <row r="37" spans="1:11" x14ac:dyDescent="0.3">
      <c r="A37" s="16" t="s">
        <v>178</v>
      </c>
      <c r="B37" s="16" t="s">
        <v>179</v>
      </c>
      <c r="C37" s="16" t="s">
        <v>180</v>
      </c>
      <c r="D37" s="16" t="s">
        <v>102</v>
      </c>
      <c r="E37" s="25">
        <f>'Store Inventory'!F37</f>
        <v>60</v>
      </c>
      <c r="F37" s="26">
        <f>'Kitchen &amp; Bar Receiving'!P38-'Theoretical Consumption'!H37</f>
        <v>14.227</v>
      </c>
      <c r="G37" s="24">
        <v>0</v>
      </c>
      <c r="H37" s="37">
        <f t="shared" si="8"/>
        <v>-14.227</v>
      </c>
      <c r="I37" s="38">
        <f t="shared" si="9"/>
        <v>-853.62</v>
      </c>
      <c r="J37" s="51">
        <f t="shared" si="10"/>
        <v>-1</v>
      </c>
      <c r="K37" s="39" t="str">
        <f t="shared" si="11"/>
        <v>INVESTIGATE</v>
      </c>
    </row>
    <row r="38" spans="1:11" x14ac:dyDescent="0.3">
      <c r="A38" s="16" t="s">
        <v>181</v>
      </c>
      <c r="B38" s="16" t="s">
        <v>182</v>
      </c>
      <c r="C38" s="16" t="s">
        <v>180</v>
      </c>
      <c r="D38" s="16" t="s">
        <v>102</v>
      </c>
      <c r="E38" s="25">
        <f>'Store Inventory'!F38</f>
        <v>25</v>
      </c>
      <c r="F38" s="26">
        <f>'Kitchen &amp; Bar Receiving'!P39-'Theoretical Consumption'!H38</f>
        <v>-0.91999999999999993</v>
      </c>
      <c r="G38" s="24">
        <v>0</v>
      </c>
      <c r="H38" s="37">
        <f t="shared" si="8"/>
        <v>0.91999999999999993</v>
      </c>
      <c r="I38" s="38">
        <f t="shared" si="9"/>
        <v>23</v>
      </c>
      <c r="J38" s="51">
        <f t="shared" si="10"/>
        <v>-1</v>
      </c>
      <c r="K38" s="39" t="str">
        <f t="shared" si="11"/>
        <v>INVESTIGATE</v>
      </c>
    </row>
    <row r="39" spans="1:11" x14ac:dyDescent="0.3">
      <c r="A39" s="16" t="s">
        <v>183</v>
      </c>
      <c r="B39" s="16" t="s">
        <v>184</v>
      </c>
      <c r="C39" s="16" t="s">
        <v>180</v>
      </c>
      <c r="D39" s="16" t="s">
        <v>147</v>
      </c>
      <c r="E39" s="25">
        <f>'Store Inventory'!F39</f>
        <v>150</v>
      </c>
      <c r="F39" s="26">
        <f>'Kitchen &amp; Bar Receiving'!P40-'Theoretical Consumption'!H39</f>
        <v>12.961499999999999</v>
      </c>
      <c r="G39" s="24">
        <v>0</v>
      </c>
      <c r="H39" s="37">
        <f t="shared" si="8"/>
        <v>-12.961499999999999</v>
      </c>
      <c r="I39" s="38">
        <f t="shared" si="9"/>
        <v>-1944.2249999999999</v>
      </c>
      <c r="J39" s="51">
        <f t="shared" si="10"/>
        <v>-1</v>
      </c>
      <c r="K39" s="39" t="str">
        <f t="shared" si="11"/>
        <v>INVESTIGATE</v>
      </c>
    </row>
    <row r="40" spans="1:11" x14ac:dyDescent="0.3">
      <c r="A40" s="16" t="s">
        <v>185</v>
      </c>
      <c r="B40" s="16" t="s">
        <v>186</v>
      </c>
      <c r="C40" s="16" t="s">
        <v>180</v>
      </c>
      <c r="D40" s="16" t="s">
        <v>102</v>
      </c>
      <c r="E40" s="25">
        <f>'Store Inventory'!F40</f>
        <v>400</v>
      </c>
      <c r="F40" s="26">
        <f>'Kitchen &amp; Bar Receiving'!P41-'Theoretical Consumption'!H40</f>
        <v>6.9879999999999995</v>
      </c>
      <c r="G40" s="24">
        <v>0</v>
      </c>
      <c r="H40" s="37">
        <f t="shared" si="8"/>
        <v>-6.9879999999999995</v>
      </c>
      <c r="I40" s="38">
        <f t="shared" si="9"/>
        <v>-2795.2</v>
      </c>
      <c r="J40" s="51">
        <f t="shared" si="10"/>
        <v>-1</v>
      </c>
      <c r="K40" s="39" t="str">
        <f t="shared" si="11"/>
        <v>INVESTIGATE</v>
      </c>
    </row>
    <row r="41" spans="1:11" x14ac:dyDescent="0.3">
      <c r="A41" s="16" t="s">
        <v>187</v>
      </c>
      <c r="B41" s="16" t="s">
        <v>188</v>
      </c>
      <c r="C41" s="16" t="s">
        <v>180</v>
      </c>
      <c r="D41" s="16" t="s">
        <v>102</v>
      </c>
      <c r="E41" s="25">
        <f>'Store Inventory'!F41</f>
        <v>500</v>
      </c>
      <c r="F41" s="26">
        <f>'Kitchen &amp; Bar Receiving'!P42-'Theoretical Consumption'!H41</f>
        <v>-0.152</v>
      </c>
      <c r="G41" s="24">
        <v>0</v>
      </c>
      <c r="H41" s="37">
        <f t="shared" si="8"/>
        <v>0.152</v>
      </c>
      <c r="I41" s="38">
        <f t="shared" si="9"/>
        <v>76</v>
      </c>
      <c r="J41" s="51">
        <f t="shared" si="10"/>
        <v>-1</v>
      </c>
      <c r="K41" s="39" t="str">
        <f t="shared" si="11"/>
        <v>INVESTIGATE</v>
      </c>
    </row>
  </sheetData>
  <mergeCells count="5">
    <mergeCell ref="A1:J1"/>
    <mergeCell ref="A2:J2"/>
    <mergeCell ref="A4:K4"/>
    <mergeCell ref="A20:K20"/>
    <mergeCell ref="A32:K32"/>
  </mergeCells>
  <conditionalFormatting sqref="K4:K41">
    <cfRule type="cellIs" dxfId="6" priority="2" operator="equal">
      <formula>"OK"</formula>
    </cfRule>
    <cfRule type="cellIs" dxfId="5" priority="3" operator="equal">
      <formula>"REVIEW"</formula>
    </cfRule>
    <cfRule type="cellIs" dxfId="4" priority="4" operator="equal">
      <formula>"INVESTIGATE"</formula>
    </cfRule>
  </conditionalFormatting>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7B34"/>
  </sheetPr>
  <dimension ref="A1:AG23"/>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ColWidth="8.6640625" defaultRowHeight="14.4" x14ac:dyDescent="0.3"/>
  <cols>
    <col min="1" max="1" width="24" customWidth="1"/>
    <col min="2" max="32" width="8" customWidth="1"/>
    <col min="33" max="33" width="15" customWidth="1"/>
  </cols>
  <sheetData>
    <row r="1" spans="1:33" ht="25.5" customHeight="1" x14ac:dyDescent="0.3">
      <c r="A1" s="14" t="s">
        <v>644</v>
      </c>
      <c r="B1" s="14"/>
      <c r="C1" s="14"/>
      <c r="D1" s="14"/>
      <c r="E1" s="14"/>
      <c r="F1" s="14"/>
      <c r="G1" s="14"/>
      <c r="H1" s="14"/>
      <c r="I1" s="14"/>
      <c r="J1" s="14"/>
    </row>
    <row r="2" spans="1:33" x14ac:dyDescent="0.3">
      <c r="A2" s="13" t="s">
        <v>645</v>
      </c>
      <c r="B2" s="13"/>
      <c r="C2" s="13"/>
      <c r="D2" s="13"/>
      <c r="E2" s="13"/>
      <c r="F2" s="13"/>
      <c r="G2" s="13"/>
      <c r="H2" s="13"/>
      <c r="I2" s="13"/>
      <c r="J2" s="13"/>
    </row>
    <row r="3" spans="1:33" ht="24" customHeight="1" x14ac:dyDescent="0.3">
      <c r="A3" s="52" t="s">
        <v>646</v>
      </c>
      <c r="B3" s="53">
        <v>46204</v>
      </c>
      <c r="C3" s="53">
        <v>46205</v>
      </c>
      <c r="D3" s="53">
        <v>46206</v>
      </c>
      <c r="E3" s="53">
        <v>46207</v>
      </c>
      <c r="F3" s="53">
        <v>46208</v>
      </c>
      <c r="G3" s="53">
        <v>46209</v>
      </c>
      <c r="H3" s="53">
        <v>46210</v>
      </c>
      <c r="I3" s="53">
        <v>46211</v>
      </c>
      <c r="J3" s="53">
        <v>46212</v>
      </c>
      <c r="K3" s="53">
        <v>46213</v>
      </c>
      <c r="L3" s="53">
        <v>46214</v>
      </c>
      <c r="M3" s="53">
        <v>46215</v>
      </c>
      <c r="N3" s="53">
        <v>46216</v>
      </c>
      <c r="O3" s="53">
        <v>46217</v>
      </c>
      <c r="P3" s="53">
        <v>46218</v>
      </c>
      <c r="Q3" s="53">
        <v>46219</v>
      </c>
      <c r="R3" s="53">
        <v>46220</v>
      </c>
      <c r="S3" s="53">
        <v>46221</v>
      </c>
      <c r="T3" s="53">
        <v>46222</v>
      </c>
      <c r="U3" s="53">
        <v>46223</v>
      </c>
      <c r="V3" s="53">
        <v>46224</v>
      </c>
      <c r="W3" s="53">
        <v>46225</v>
      </c>
      <c r="X3" s="53">
        <v>46226</v>
      </c>
      <c r="Y3" s="53">
        <v>46227</v>
      </c>
      <c r="Z3" s="53">
        <v>46228</v>
      </c>
      <c r="AA3" s="53">
        <v>46229</v>
      </c>
      <c r="AB3" s="53">
        <v>46230</v>
      </c>
      <c r="AC3" s="53">
        <v>46231</v>
      </c>
      <c r="AD3" s="53">
        <v>46232</v>
      </c>
      <c r="AE3" s="53">
        <v>46233</v>
      </c>
      <c r="AF3" s="53">
        <v>46234</v>
      </c>
      <c r="AG3" s="54" t="s">
        <v>647</v>
      </c>
    </row>
    <row r="4" spans="1:33" x14ac:dyDescent="0.3">
      <c r="A4" s="16" t="s">
        <v>648</v>
      </c>
      <c r="B4" s="19">
        <f>SUMPRODUCT(('Daily Sales'!$C$5:$C$30="Food")*'Daily Sales'!$D$5:$D$30*'Daily Sales'!F$5:F$30)</f>
        <v>32320</v>
      </c>
      <c r="C4" s="19">
        <f>SUMPRODUCT(('Daily Sales'!$C$5:$C$30="Food")*'Daily Sales'!$D$5:$D$30*'Daily Sales'!G$5:G$30)</f>
        <v>34230</v>
      </c>
      <c r="D4" s="19">
        <f>SUMPRODUCT(('Daily Sales'!$C$5:$C$30="Food")*'Daily Sales'!$D$5:$D$30*'Daily Sales'!H$5:H$30)</f>
        <v>27180</v>
      </c>
      <c r="E4" s="19">
        <f>SUMPRODUCT(('Daily Sales'!$C$5:$C$30="Food")*'Daily Sales'!$D$5:$D$30*'Daily Sales'!I$5:I$30)</f>
        <v>32560</v>
      </c>
      <c r="F4" s="19">
        <f>SUMPRODUCT(('Daily Sales'!$C$5:$C$30="Food")*'Daily Sales'!$D$5:$D$30*'Daily Sales'!J$5:J$30)</f>
        <v>29990</v>
      </c>
      <c r="G4" s="19">
        <f>SUMPRODUCT(('Daily Sales'!$C$5:$C$30="Food")*'Daily Sales'!$D$5:$D$30*'Daily Sales'!K$5:K$30)</f>
        <v>35020</v>
      </c>
      <c r="H4" s="19">
        <f>SUMPRODUCT(('Daily Sales'!$C$5:$C$30="Food")*'Daily Sales'!$D$5:$D$30*'Daily Sales'!L$5:L$30)</f>
        <v>32790</v>
      </c>
      <c r="I4" s="19">
        <f>SUMPRODUCT(('Daily Sales'!$C$5:$C$30="Food")*'Daily Sales'!$D$5:$D$30*'Daily Sales'!M$5:M$30)</f>
        <v>0</v>
      </c>
      <c r="J4" s="19">
        <f>SUMPRODUCT(('Daily Sales'!$C$5:$C$30="Food")*'Daily Sales'!$D$5:$D$30*'Daily Sales'!N$5:N$30)</f>
        <v>0</v>
      </c>
      <c r="K4" s="19">
        <f>SUMPRODUCT(('Daily Sales'!$C$5:$C$30="Food")*'Daily Sales'!$D$5:$D$30*'Daily Sales'!O$5:O$30)</f>
        <v>0</v>
      </c>
      <c r="L4" s="19">
        <f>SUMPRODUCT(('Daily Sales'!$C$5:$C$30="Food")*'Daily Sales'!$D$5:$D$30*'Daily Sales'!P$5:P$30)</f>
        <v>0</v>
      </c>
      <c r="M4" s="19">
        <f>SUMPRODUCT(('Daily Sales'!$C$5:$C$30="Food")*'Daily Sales'!$D$5:$D$30*'Daily Sales'!Q$5:Q$30)</f>
        <v>0</v>
      </c>
      <c r="N4" s="19">
        <f>SUMPRODUCT(('Daily Sales'!$C$5:$C$30="Food")*'Daily Sales'!$D$5:$D$30*'Daily Sales'!R$5:R$30)</f>
        <v>0</v>
      </c>
      <c r="O4" s="19">
        <f>SUMPRODUCT(('Daily Sales'!$C$5:$C$30="Food")*'Daily Sales'!$D$5:$D$30*'Daily Sales'!S$5:S$30)</f>
        <v>0</v>
      </c>
      <c r="P4" s="19">
        <f>SUMPRODUCT(('Daily Sales'!$C$5:$C$30="Food")*'Daily Sales'!$D$5:$D$30*'Daily Sales'!T$5:T$30)</f>
        <v>0</v>
      </c>
      <c r="Q4" s="19">
        <f>SUMPRODUCT(('Daily Sales'!$C$5:$C$30="Food")*'Daily Sales'!$D$5:$D$30*'Daily Sales'!U$5:U$30)</f>
        <v>0</v>
      </c>
      <c r="R4" s="19">
        <f>SUMPRODUCT(('Daily Sales'!$C$5:$C$30="Food")*'Daily Sales'!$D$5:$D$30*'Daily Sales'!V$5:V$30)</f>
        <v>0</v>
      </c>
      <c r="S4" s="19">
        <f>SUMPRODUCT(('Daily Sales'!$C$5:$C$30="Food")*'Daily Sales'!$D$5:$D$30*'Daily Sales'!W$5:W$30)</f>
        <v>0</v>
      </c>
      <c r="T4" s="19">
        <f>SUMPRODUCT(('Daily Sales'!$C$5:$C$30="Food")*'Daily Sales'!$D$5:$D$30*'Daily Sales'!X$5:X$30)</f>
        <v>0</v>
      </c>
      <c r="U4" s="19">
        <f>SUMPRODUCT(('Daily Sales'!$C$5:$C$30="Food")*'Daily Sales'!$D$5:$D$30*'Daily Sales'!Y$5:Y$30)</f>
        <v>0</v>
      </c>
      <c r="V4" s="19">
        <f>SUMPRODUCT(('Daily Sales'!$C$5:$C$30="Food")*'Daily Sales'!$D$5:$D$30*'Daily Sales'!Z$5:Z$30)</f>
        <v>0</v>
      </c>
      <c r="W4" s="19">
        <f>SUMPRODUCT(('Daily Sales'!$C$5:$C$30="Food")*'Daily Sales'!$D$5:$D$30*'Daily Sales'!AA$5:AA$30)</f>
        <v>0</v>
      </c>
      <c r="X4" s="19">
        <f>SUMPRODUCT(('Daily Sales'!$C$5:$C$30="Food")*'Daily Sales'!$D$5:$D$30*'Daily Sales'!AB$5:AB$30)</f>
        <v>0</v>
      </c>
      <c r="Y4" s="19">
        <f>SUMPRODUCT(('Daily Sales'!$C$5:$C$30="Food")*'Daily Sales'!$D$5:$D$30*'Daily Sales'!AC$5:AC$30)</f>
        <v>0</v>
      </c>
      <c r="Z4" s="19">
        <f>SUMPRODUCT(('Daily Sales'!$C$5:$C$30="Food")*'Daily Sales'!$D$5:$D$30*'Daily Sales'!AD$5:AD$30)</f>
        <v>0</v>
      </c>
      <c r="AA4" s="19">
        <f>SUMPRODUCT(('Daily Sales'!$C$5:$C$30="Food")*'Daily Sales'!$D$5:$D$30*'Daily Sales'!AE$5:AE$30)</f>
        <v>0</v>
      </c>
      <c r="AB4" s="19">
        <f>SUMPRODUCT(('Daily Sales'!$C$5:$C$30="Food")*'Daily Sales'!$D$5:$D$30*'Daily Sales'!AF$5:AF$30)</f>
        <v>0</v>
      </c>
      <c r="AC4" s="19">
        <f>SUMPRODUCT(('Daily Sales'!$C$5:$C$30="Food")*'Daily Sales'!$D$5:$D$30*'Daily Sales'!AG$5:AG$30)</f>
        <v>0</v>
      </c>
      <c r="AD4" s="19">
        <f>SUMPRODUCT(('Daily Sales'!$C$5:$C$30="Food")*'Daily Sales'!$D$5:$D$30*'Daily Sales'!AH$5:AH$30)</f>
        <v>0</v>
      </c>
      <c r="AE4" s="19">
        <f>SUMPRODUCT(('Daily Sales'!$C$5:$C$30="Food")*'Daily Sales'!$D$5:$D$30*'Daily Sales'!AI$5:AI$30)</f>
        <v>0</v>
      </c>
      <c r="AF4" s="19">
        <f>SUMPRODUCT(('Daily Sales'!$C$5:$C$30="Food")*'Daily Sales'!$D$5:$D$30*'Daily Sales'!AJ$5:AJ$30)</f>
        <v>0</v>
      </c>
      <c r="AG4" s="19">
        <f t="shared" ref="AG4:AG18" si="0">SUM(B4:AF4)</f>
        <v>224090</v>
      </c>
    </row>
    <row r="5" spans="1:33" x14ac:dyDescent="0.3">
      <c r="A5" s="16" t="s">
        <v>649</v>
      </c>
      <c r="B5" s="19">
        <f>SUMPRODUCT(('Daily Sales'!$C$5:$C$30="Beverage")*'Daily Sales'!$D$5:$D$30*'Daily Sales'!F$5:F$30)</f>
        <v>11990</v>
      </c>
      <c r="C5" s="19">
        <f>SUMPRODUCT(('Daily Sales'!$C$5:$C$30="Beverage")*'Daily Sales'!$D$5:$D$30*'Daily Sales'!G$5:G$30)</f>
        <v>11360</v>
      </c>
      <c r="D5" s="19">
        <f>SUMPRODUCT(('Daily Sales'!$C$5:$C$30="Beverage")*'Daily Sales'!$D$5:$D$30*'Daily Sales'!H$5:H$30)</f>
        <v>11970</v>
      </c>
      <c r="E5" s="19">
        <f>SUMPRODUCT(('Daily Sales'!$C$5:$C$30="Beverage")*'Daily Sales'!$D$5:$D$30*'Daily Sales'!I$5:I$30)</f>
        <v>11400</v>
      </c>
      <c r="F5" s="19">
        <f>SUMPRODUCT(('Daily Sales'!$C$5:$C$30="Beverage")*'Daily Sales'!$D$5:$D$30*'Daily Sales'!J$5:J$30)</f>
        <v>10700</v>
      </c>
      <c r="G5" s="19">
        <f>SUMPRODUCT(('Daily Sales'!$C$5:$C$30="Beverage")*'Daily Sales'!$D$5:$D$30*'Daily Sales'!K$5:K$30)</f>
        <v>12200</v>
      </c>
      <c r="H5" s="19">
        <f>SUMPRODUCT(('Daily Sales'!$C$5:$C$30="Beverage")*'Daily Sales'!$D$5:$D$30*'Daily Sales'!L$5:L$30)</f>
        <v>12520</v>
      </c>
      <c r="I5" s="19">
        <f>SUMPRODUCT(('Daily Sales'!$C$5:$C$30="Beverage")*'Daily Sales'!$D$5:$D$30*'Daily Sales'!M$5:M$30)</f>
        <v>0</v>
      </c>
      <c r="J5" s="19">
        <f>SUMPRODUCT(('Daily Sales'!$C$5:$C$30="Beverage")*'Daily Sales'!$D$5:$D$30*'Daily Sales'!N$5:N$30)</f>
        <v>0</v>
      </c>
      <c r="K5" s="19">
        <f>SUMPRODUCT(('Daily Sales'!$C$5:$C$30="Beverage")*'Daily Sales'!$D$5:$D$30*'Daily Sales'!O$5:O$30)</f>
        <v>0</v>
      </c>
      <c r="L5" s="19">
        <f>SUMPRODUCT(('Daily Sales'!$C$5:$C$30="Beverage")*'Daily Sales'!$D$5:$D$30*'Daily Sales'!P$5:P$30)</f>
        <v>0</v>
      </c>
      <c r="M5" s="19">
        <f>SUMPRODUCT(('Daily Sales'!$C$5:$C$30="Beverage")*'Daily Sales'!$D$5:$D$30*'Daily Sales'!Q$5:Q$30)</f>
        <v>0</v>
      </c>
      <c r="N5" s="19">
        <f>SUMPRODUCT(('Daily Sales'!$C$5:$C$30="Beverage")*'Daily Sales'!$D$5:$D$30*'Daily Sales'!R$5:R$30)</f>
        <v>0</v>
      </c>
      <c r="O5" s="19">
        <f>SUMPRODUCT(('Daily Sales'!$C$5:$C$30="Beverage")*'Daily Sales'!$D$5:$D$30*'Daily Sales'!S$5:S$30)</f>
        <v>0</v>
      </c>
      <c r="P5" s="19">
        <f>SUMPRODUCT(('Daily Sales'!$C$5:$C$30="Beverage")*'Daily Sales'!$D$5:$D$30*'Daily Sales'!T$5:T$30)</f>
        <v>0</v>
      </c>
      <c r="Q5" s="19">
        <f>SUMPRODUCT(('Daily Sales'!$C$5:$C$30="Beverage")*'Daily Sales'!$D$5:$D$30*'Daily Sales'!U$5:U$30)</f>
        <v>0</v>
      </c>
      <c r="R5" s="19">
        <f>SUMPRODUCT(('Daily Sales'!$C$5:$C$30="Beverage")*'Daily Sales'!$D$5:$D$30*'Daily Sales'!V$5:V$30)</f>
        <v>0</v>
      </c>
      <c r="S5" s="19">
        <f>SUMPRODUCT(('Daily Sales'!$C$5:$C$30="Beverage")*'Daily Sales'!$D$5:$D$30*'Daily Sales'!W$5:W$30)</f>
        <v>0</v>
      </c>
      <c r="T5" s="19">
        <f>SUMPRODUCT(('Daily Sales'!$C$5:$C$30="Beverage")*'Daily Sales'!$D$5:$D$30*'Daily Sales'!X$5:X$30)</f>
        <v>0</v>
      </c>
      <c r="U5" s="19">
        <f>SUMPRODUCT(('Daily Sales'!$C$5:$C$30="Beverage")*'Daily Sales'!$D$5:$D$30*'Daily Sales'!Y$5:Y$30)</f>
        <v>0</v>
      </c>
      <c r="V5" s="19">
        <f>SUMPRODUCT(('Daily Sales'!$C$5:$C$30="Beverage")*'Daily Sales'!$D$5:$D$30*'Daily Sales'!Z$5:Z$30)</f>
        <v>0</v>
      </c>
      <c r="W5" s="19">
        <f>SUMPRODUCT(('Daily Sales'!$C$5:$C$30="Beverage")*'Daily Sales'!$D$5:$D$30*'Daily Sales'!AA$5:AA$30)</f>
        <v>0</v>
      </c>
      <c r="X5" s="19">
        <f>SUMPRODUCT(('Daily Sales'!$C$5:$C$30="Beverage")*'Daily Sales'!$D$5:$D$30*'Daily Sales'!AB$5:AB$30)</f>
        <v>0</v>
      </c>
      <c r="Y5" s="19">
        <f>SUMPRODUCT(('Daily Sales'!$C$5:$C$30="Beverage")*'Daily Sales'!$D$5:$D$30*'Daily Sales'!AC$5:AC$30)</f>
        <v>0</v>
      </c>
      <c r="Z5" s="19">
        <f>SUMPRODUCT(('Daily Sales'!$C$5:$C$30="Beverage")*'Daily Sales'!$D$5:$D$30*'Daily Sales'!AD$5:AD$30)</f>
        <v>0</v>
      </c>
      <c r="AA5" s="19">
        <f>SUMPRODUCT(('Daily Sales'!$C$5:$C$30="Beverage")*'Daily Sales'!$D$5:$D$30*'Daily Sales'!AE$5:AE$30)</f>
        <v>0</v>
      </c>
      <c r="AB5" s="19">
        <f>SUMPRODUCT(('Daily Sales'!$C$5:$C$30="Beverage")*'Daily Sales'!$D$5:$D$30*'Daily Sales'!AF$5:AF$30)</f>
        <v>0</v>
      </c>
      <c r="AC5" s="19">
        <f>SUMPRODUCT(('Daily Sales'!$C$5:$C$30="Beverage")*'Daily Sales'!$D$5:$D$30*'Daily Sales'!AG$5:AG$30)</f>
        <v>0</v>
      </c>
      <c r="AD5" s="19">
        <f>SUMPRODUCT(('Daily Sales'!$C$5:$C$30="Beverage")*'Daily Sales'!$D$5:$D$30*'Daily Sales'!AH$5:AH$30)</f>
        <v>0</v>
      </c>
      <c r="AE5" s="19">
        <f>SUMPRODUCT(('Daily Sales'!$C$5:$C$30="Beverage")*'Daily Sales'!$D$5:$D$30*'Daily Sales'!AI$5:AI$30)</f>
        <v>0</v>
      </c>
      <c r="AF5" s="19">
        <f>SUMPRODUCT(('Daily Sales'!$C$5:$C$30="Beverage")*'Daily Sales'!$D$5:$D$30*'Daily Sales'!AJ$5:AJ$30)</f>
        <v>0</v>
      </c>
      <c r="AG5" s="19">
        <f t="shared" si="0"/>
        <v>82140</v>
      </c>
    </row>
    <row r="6" spans="1:33" x14ac:dyDescent="0.3">
      <c r="A6" s="28" t="s">
        <v>650</v>
      </c>
      <c r="B6" s="55">
        <f t="shared" ref="B6:AF6" si="1">B4+B5</f>
        <v>44310</v>
      </c>
      <c r="C6" s="55">
        <f t="shared" si="1"/>
        <v>45590</v>
      </c>
      <c r="D6" s="55">
        <f t="shared" si="1"/>
        <v>39150</v>
      </c>
      <c r="E6" s="55">
        <f t="shared" si="1"/>
        <v>43960</v>
      </c>
      <c r="F6" s="55">
        <f t="shared" si="1"/>
        <v>40690</v>
      </c>
      <c r="G6" s="55">
        <f t="shared" si="1"/>
        <v>47220</v>
      </c>
      <c r="H6" s="55">
        <f t="shared" si="1"/>
        <v>45310</v>
      </c>
      <c r="I6" s="55">
        <f t="shared" si="1"/>
        <v>0</v>
      </c>
      <c r="J6" s="55">
        <f t="shared" si="1"/>
        <v>0</v>
      </c>
      <c r="K6" s="55">
        <f t="shared" si="1"/>
        <v>0</v>
      </c>
      <c r="L6" s="55">
        <f t="shared" si="1"/>
        <v>0</v>
      </c>
      <c r="M6" s="55">
        <f t="shared" si="1"/>
        <v>0</v>
      </c>
      <c r="N6" s="55">
        <f t="shared" si="1"/>
        <v>0</v>
      </c>
      <c r="O6" s="55">
        <f t="shared" si="1"/>
        <v>0</v>
      </c>
      <c r="P6" s="55">
        <f t="shared" si="1"/>
        <v>0</v>
      </c>
      <c r="Q6" s="55">
        <f t="shared" si="1"/>
        <v>0</v>
      </c>
      <c r="R6" s="55">
        <f t="shared" si="1"/>
        <v>0</v>
      </c>
      <c r="S6" s="55">
        <f t="shared" si="1"/>
        <v>0</v>
      </c>
      <c r="T6" s="55">
        <f t="shared" si="1"/>
        <v>0</v>
      </c>
      <c r="U6" s="55">
        <f t="shared" si="1"/>
        <v>0</v>
      </c>
      <c r="V6" s="55">
        <f t="shared" si="1"/>
        <v>0</v>
      </c>
      <c r="W6" s="55">
        <f t="shared" si="1"/>
        <v>0</v>
      </c>
      <c r="X6" s="55">
        <f t="shared" si="1"/>
        <v>0</v>
      </c>
      <c r="Y6" s="55">
        <f t="shared" si="1"/>
        <v>0</v>
      </c>
      <c r="Z6" s="55">
        <f t="shared" si="1"/>
        <v>0</v>
      </c>
      <c r="AA6" s="55">
        <f t="shared" si="1"/>
        <v>0</v>
      </c>
      <c r="AB6" s="55">
        <f t="shared" si="1"/>
        <v>0</v>
      </c>
      <c r="AC6" s="55">
        <f t="shared" si="1"/>
        <v>0</v>
      </c>
      <c r="AD6" s="55">
        <f t="shared" si="1"/>
        <v>0</v>
      </c>
      <c r="AE6" s="55">
        <f t="shared" si="1"/>
        <v>0</v>
      </c>
      <c r="AF6" s="55">
        <f t="shared" si="1"/>
        <v>0</v>
      </c>
      <c r="AG6" s="30">
        <f t="shared" si="0"/>
        <v>306230</v>
      </c>
    </row>
    <row r="7" spans="1:33" x14ac:dyDescent="0.3">
      <c r="A7" s="16" t="s">
        <v>651</v>
      </c>
      <c r="B7" s="19">
        <f>SUMIFS('Daily Void'!$J:$J,'Daily Void'!$B:$B,B$3)</f>
        <v>0</v>
      </c>
      <c r="C7" s="19">
        <f>SUMIFS('Daily Void'!$J:$J,'Daily Void'!$B:$B,C$3)</f>
        <v>280</v>
      </c>
      <c r="D7" s="19">
        <f>SUMIFS('Daily Void'!$J:$J,'Daily Void'!$B:$B,D$3)</f>
        <v>0</v>
      </c>
      <c r="E7" s="19">
        <f>SUMIFS('Daily Void'!$J:$J,'Daily Void'!$B:$B,E$3)</f>
        <v>440</v>
      </c>
      <c r="F7" s="19">
        <f>SUMIFS('Daily Void'!$J:$J,'Daily Void'!$B:$B,F$3)</f>
        <v>0</v>
      </c>
      <c r="G7" s="19">
        <f>SUMIFS('Daily Void'!$J:$J,'Daily Void'!$B:$B,G$3)</f>
        <v>0</v>
      </c>
      <c r="H7" s="19">
        <f>SUMIFS('Daily Void'!$J:$J,'Daily Void'!$B:$B,H$3)</f>
        <v>0</v>
      </c>
      <c r="I7" s="19">
        <f>SUMIFS('Daily Void'!$J:$J,'Daily Void'!$B:$B,I$3)</f>
        <v>0</v>
      </c>
      <c r="J7" s="19">
        <f>SUMIFS('Daily Void'!$J:$J,'Daily Void'!$B:$B,J$3)</f>
        <v>0</v>
      </c>
      <c r="K7" s="19">
        <f>SUMIFS('Daily Void'!$J:$J,'Daily Void'!$B:$B,K$3)</f>
        <v>0</v>
      </c>
      <c r="L7" s="19">
        <f>SUMIFS('Daily Void'!$J:$J,'Daily Void'!$B:$B,L$3)</f>
        <v>0</v>
      </c>
      <c r="M7" s="19">
        <f>SUMIFS('Daily Void'!$J:$J,'Daily Void'!$B:$B,M$3)</f>
        <v>0</v>
      </c>
      <c r="N7" s="19">
        <f>SUMIFS('Daily Void'!$J:$J,'Daily Void'!$B:$B,N$3)</f>
        <v>0</v>
      </c>
      <c r="O7" s="19">
        <f>SUMIFS('Daily Void'!$J:$J,'Daily Void'!$B:$B,O$3)</f>
        <v>0</v>
      </c>
      <c r="P7" s="19">
        <f>SUMIFS('Daily Void'!$J:$J,'Daily Void'!$B:$B,P$3)</f>
        <v>0</v>
      </c>
      <c r="Q7" s="19">
        <f>SUMIFS('Daily Void'!$J:$J,'Daily Void'!$B:$B,Q$3)</f>
        <v>0</v>
      </c>
      <c r="R7" s="19">
        <f>SUMIFS('Daily Void'!$J:$J,'Daily Void'!$B:$B,R$3)</f>
        <v>0</v>
      </c>
      <c r="S7" s="19">
        <f>SUMIFS('Daily Void'!$J:$J,'Daily Void'!$B:$B,S$3)</f>
        <v>0</v>
      </c>
      <c r="T7" s="19">
        <f>SUMIFS('Daily Void'!$J:$J,'Daily Void'!$B:$B,T$3)</f>
        <v>0</v>
      </c>
      <c r="U7" s="19">
        <f>SUMIFS('Daily Void'!$J:$J,'Daily Void'!$B:$B,U$3)</f>
        <v>0</v>
      </c>
      <c r="V7" s="19">
        <f>SUMIFS('Daily Void'!$J:$J,'Daily Void'!$B:$B,V$3)</f>
        <v>0</v>
      </c>
      <c r="W7" s="19">
        <f>SUMIFS('Daily Void'!$J:$J,'Daily Void'!$B:$B,W$3)</f>
        <v>0</v>
      </c>
      <c r="X7" s="19">
        <f>SUMIFS('Daily Void'!$J:$J,'Daily Void'!$B:$B,X$3)</f>
        <v>0</v>
      </c>
      <c r="Y7" s="19">
        <f>SUMIFS('Daily Void'!$J:$J,'Daily Void'!$B:$B,Y$3)</f>
        <v>0</v>
      </c>
      <c r="Z7" s="19">
        <f>SUMIFS('Daily Void'!$J:$J,'Daily Void'!$B:$B,Z$3)</f>
        <v>0</v>
      </c>
      <c r="AA7" s="19">
        <f>SUMIFS('Daily Void'!$J:$J,'Daily Void'!$B:$B,AA$3)</f>
        <v>0</v>
      </c>
      <c r="AB7" s="19">
        <f>SUMIFS('Daily Void'!$J:$J,'Daily Void'!$B:$B,AB$3)</f>
        <v>0</v>
      </c>
      <c r="AC7" s="19">
        <f>SUMIFS('Daily Void'!$J:$J,'Daily Void'!$B:$B,AC$3)</f>
        <v>0</v>
      </c>
      <c r="AD7" s="19">
        <f>SUMIFS('Daily Void'!$J:$J,'Daily Void'!$B:$B,AD$3)</f>
        <v>0</v>
      </c>
      <c r="AE7" s="19">
        <f>SUMIFS('Daily Void'!$J:$J,'Daily Void'!$B:$B,AE$3)</f>
        <v>0</v>
      </c>
      <c r="AF7" s="19">
        <f>SUMIFS('Daily Void'!$J:$J,'Daily Void'!$B:$B,AF$3)</f>
        <v>0</v>
      </c>
      <c r="AG7" s="19">
        <f t="shared" si="0"/>
        <v>720</v>
      </c>
    </row>
    <row r="8" spans="1:33" x14ac:dyDescent="0.3">
      <c r="A8" s="16" t="s">
        <v>652</v>
      </c>
      <c r="B8" s="19">
        <f>SUMIFS(Complementary!$J:$J,Complementary!$B:$B,B$3)</f>
        <v>0</v>
      </c>
      <c r="C8" s="19">
        <f>SUMIFS(Complementary!$J:$J,Complementary!$B:$B,C$3)</f>
        <v>0</v>
      </c>
      <c r="D8" s="19">
        <f>SUMIFS(Complementary!$J:$J,Complementary!$B:$B,D$3)</f>
        <v>180</v>
      </c>
      <c r="E8" s="19">
        <f>SUMIFS(Complementary!$J:$J,Complementary!$B:$B,E$3)</f>
        <v>0</v>
      </c>
      <c r="F8" s="19">
        <f>SUMIFS(Complementary!$J:$J,Complementary!$B:$B,F$3)</f>
        <v>0</v>
      </c>
      <c r="G8" s="19">
        <f>SUMIFS(Complementary!$J:$J,Complementary!$B:$B,G$3)</f>
        <v>0</v>
      </c>
      <c r="H8" s="19">
        <f>SUMIFS(Complementary!$J:$J,Complementary!$B:$B,H$3)</f>
        <v>0</v>
      </c>
      <c r="I8" s="19">
        <f>SUMIFS(Complementary!$J:$J,Complementary!$B:$B,I$3)</f>
        <v>0</v>
      </c>
      <c r="J8" s="19">
        <f>SUMIFS(Complementary!$J:$J,Complementary!$B:$B,J$3)</f>
        <v>0</v>
      </c>
      <c r="K8" s="19">
        <f>SUMIFS(Complementary!$J:$J,Complementary!$B:$B,K$3)</f>
        <v>0</v>
      </c>
      <c r="L8" s="19">
        <f>SUMIFS(Complementary!$J:$J,Complementary!$B:$B,L$3)</f>
        <v>0</v>
      </c>
      <c r="M8" s="19">
        <f>SUMIFS(Complementary!$J:$J,Complementary!$B:$B,M$3)</f>
        <v>0</v>
      </c>
      <c r="N8" s="19">
        <f>SUMIFS(Complementary!$J:$J,Complementary!$B:$B,N$3)</f>
        <v>0</v>
      </c>
      <c r="O8" s="19">
        <f>SUMIFS(Complementary!$J:$J,Complementary!$B:$B,O$3)</f>
        <v>0</v>
      </c>
      <c r="P8" s="19">
        <f>SUMIFS(Complementary!$J:$J,Complementary!$B:$B,P$3)</f>
        <v>0</v>
      </c>
      <c r="Q8" s="19">
        <f>SUMIFS(Complementary!$J:$J,Complementary!$B:$B,Q$3)</f>
        <v>0</v>
      </c>
      <c r="R8" s="19">
        <f>SUMIFS(Complementary!$J:$J,Complementary!$B:$B,R$3)</f>
        <v>0</v>
      </c>
      <c r="S8" s="19">
        <f>SUMIFS(Complementary!$J:$J,Complementary!$B:$B,S$3)</f>
        <v>0</v>
      </c>
      <c r="T8" s="19">
        <f>SUMIFS(Complementary!$J:$J,Complementary!$B:$B,T$3)</f>
        <v>0</v>
      </c>
      <c r="U8" s="19">
        <f>SUMIFS(Complementary!$J:$J,Complementary!$B:$B,U$3)</f>
        <v>0</v>
      </c>
      <c r="V8" s="19">
        <f>SUMIFS(Complementary!$J:$J,Complementary!$B:$B,V$3)</f>
        <v>0</v>
      </c>
      <c r="W8" s="19">
        <f>SUMIFS(Complementary!$J:$J,Complementary!$B:$B,W$3)</f>
        <v>0</v>
      </c>
      <c r="X8" s="19">
        <f>SUMIFS(Complementary!$J:$J,Complementary!$B:$B,X$3)</f>
        <v>0</v>
      </c>
      <c r="Y8" s="19">
        <f>SUMIFS(Complementary!$J:$J,Complementary!$B:$B,Y$3)</f>
        <v>0</v>
      </c>
      <c r="Z8" s="19">
        <f>SUMIFS(Complementary!$J:$J,Complementary!$B:$B,Z$3)</f>
        <v>0</v>
      </c>
      <c r="AA8" s="19">
        <f>SUMIFS(Complementary!$J:$J,Complementary!$B:$B,AA$3)</f>
        <v>0</v>
      </c>
      <c r="AB8" s="19">
        <f>SUMIFS(Complementary!$J:$J,Complementary!$B:$B,AB$3)</f>
        <v>0</v>
      </c>
      <c r="AC8" s="19">
        <f>SUMIFS(Complementary!$J:$J,Complementary!$B:$B,AC$3)</f>
        <v>0</v>
      </c>
      <c r="AD8" s="19">
        <f>SUMIFS(Complementary!$J:$J,Complementary!$B:$B,AD$3)</f>
        <v>0</v>
      </c>
      <c r="AE8" s="19">
        <f>SUMIFS(Complementary!$J:$J,Complementary!$B:$B,AE$3)</f>
        <v>0</v>
      </c>
      <c r="AF8" s="19">
        <f>SUMIFS(Complementary!$J:$J,Complementary!$B:$B,AF$3)</f>
        <v>0</v>
      </c>
      <c r="AG8" s="19">
        <f t="shared" si="0"/>
        <v>180</v>
      </c>
    </row>
    <row r="9" spans="1:33" x14ac:dyDescent="0.3">
      <c r="A9" s="28" t="s">
        <v>653</v>
      </c>
      <c r="B9" s="55">
        <f t="shared" ref="B9:AF9" si="2">B6-B7-B8</f>
        <v>44310</v>
      </c>
      <c r="C9" s="55">
        <f t="shared" si="2"/>
        <v>45310</v>
      </c>
      <c r="D9" s="55">
        <f t="shared" si="2"/>
        <v>38970</v>
      </c>
      <c r="E9" s="55">
        <f t="shared" si="2"/>
        <v>43520</v>
      </c>
      <c r="F9" s="55">
        <f t="shared" si="2"/>
        <v>40690</v>
      </c>
      <c r="G9" s="55">
        <f t="shared" si="2"/>
        <v>47220</v>
      </c>
      <c r="H9" s="55">
        <f t="shared" si="2"/>
        <v>45310</v>
      </c>
      <c r="I9" s="55">
        <f t="shared" si="2"/>
        <v>0</v>
      </c>
      <c r="J9" s="55">
        <f t="shared" si="2"/>
        <v>0</v>
      </c>
      <c r="K9" s="55">
        <f t="shared" si="2"/>
        <v>0</v>
      </c>
      <c r="L9" s="55">
        <f t="shared" si="2"/>
        <v>0</v>
      </c>
      <c r="M9" s="55">
        <f t="shared" si="2"/>
        <v>0</v>
      </c>
      <c r="N9" s="55">
        <f t="shared" si="2"/>
        <v>0</v>
      </c>
      <c r="O9" s="55">
        <f t="shared" si="2"/>
        <v>0</v>
      </c>
      <c r="P9" s="55">
        <f t="shared" si="2"/>
        <v>0</v>
      </c>
      <c r="Q9" s="55">
        <f t="shared" si="2"/>
        <v>0</v>
      </c>
      <c r="R9" s="55">
        <f t="shared" si="2"/>
        <v>0</v>
      </c>
      <c r="S9" s="55">
        <f t="shared" si="2"/>
        <v>0</v>
      </c>
      <c r="T9" s="55">
        <f t="shared" si="2"/>
        <v>0</v>
      </c>
      <c r="U9" s="55">
        <f t="shared" si="2"/>
        <v>0</v>
      </c>
      <c r="V9" s="55">
        <f t="shared" si="2"/>
        <v>0</v>
      </c>
      <c r="W9" s="55">
        <f t="shared" si="2"/>
        <v>0</v>
      </c>
      <c r="X9" s="55">
        <f t="shared" si="2"/>
        <v>0</v>
      </c>
      <c r="Y9" s="55">
        <f t="shared" si="2"/>
        <v>0</v>
      </c>
      <c r="Z9" s="55">
        <f t="shared" si="2"/>
        <v>0</v>
      </c>
      <c r="AA9" s="55">
        <f t="shared" si="2"/>
        <v>0</v>
      </c>
      <c r="AB9" s="55">
        <f t="shared" si="2"/>
        <v>0</v>
      </c>
      <c r="AC9" s="55">
        <f t="shared" si="2"/>
        <v>0</v>
      </c>
      <c r="AD9" s="55">
        <f t="shared" si="2"/>
        <v>0</v>
      </c>
      <c r="AE9" s="55">
        <f t="shared" si="2"/>
        <v>0</v>
      </c>
      <c r="AF9" s="55">
        <f t="shared" si="2"/>
        <v>0</v>
      </c>
      <c r="AG9" s="30">
        <f t="shared" si="0"/>
        <v>305330</v>
      </c>
    </row>
    <row r="10" spans="1:33" x14ac:dyDescent="0.3">
      <c r="A10" s="16" t="s">
        <v>654</v>
      </c>
      <c r="B10" s="19">
        <f>SUMPRODUCT(('Daily Sales'!$C$5:$C$30="Food")*'Daily Sales'!$E$5:$E$30*'Daily Sales'!F$5:F$30)</f>
        <v>8721.1500000000015</v>
      </c>
      <c r="C10" s="19">
        <f>SUMPRODUCT(('Daily Sales'!$C$5:$C$30="Food")*'Daily Sales'!$E$5:$E$30*'Daily Sales'!G$5:G$30)</f>
        <v>9248.65</v>
      </c>
      <c r="D10" s="19">
        <f>SUMPRODUCT(('Daily Sales'!$C$5:$C$30="Food")*'Daily Sales'!$E$5:$E$30*'Daily Sales'!H$5:H$30)</f>
        <v>6918.4000000000005</v>
      </c>
      <c r="E10" s="19">
        <f>SUMPRODUCT(('Daily Sales'!$C$5:$C$30="Food")*'Daily Sales'!$E$5:$E$30*'Daily Sales'!I$5:I$30)</f>
        <v>8746.75</v>
      </c>
      <c r="F10" s="19">
        <f>SUMPRODUCT(('Daily Sales'!$C$5:$C$30="Food")*'Daily Sales'!$E$5:$E$30*'Daily Sales'!J$5:J$30)</f>
        <v>8191.8999999999987</v>
      </c>
      <c r="G10" s="19">
        <f>SUMPRODUCT(('Daily Sales'!$C$5:$C$30="Food")*'Daily Sales'!$E$5:$E$30*'Daily Sales'!K$5:K$30)</f>
        <v>8985.9</v>
      </c>
      <c r="H10" s="19">
        <f>SUMPRODUCT(('Daily Sales'!$C$5:$C$30="Food")*'Daily Sales'!$E$5:$E$30*'Daily Sales'!L$5:L$30)</f>
        <v>8233.6000000000022</v>
      </c>
      <c r="I10" s="19">
        <f>SUMPRODUCT(('Daily Sales'!$C$5:$C$30="Food")*'Daily Sales'!$E$5:$E$30*'Daily Sales'!M$5:M$30)</f>
        <v>0</v>
      </c>
      <c r="J10" s="19">
        <f>SUMPRODUCT(('Daily Sales'!$C$5:$C$30="Food")*'Daily Sales'!$E$5:$E$30*'Daily Sales'!N$5:N$30)</f>
        <v>0</v>
      </c>
      <c r="K10" s="19">
        <f>SUMPRODUCT(('Daily Sales'!$C$5:$C$30="Food")*'Daily Sales'!$E$5:$E$30*'Daily Sales'!O$5:O$30)</f>
        <v>0</v>
      </c>
      <c r="L10" s="19">
        <f>SUMPRODUCT(('Daily Sales'!$C$5:$C$30="Food")*'Daily Sales'!$E$5:$E$30*'Daily Sales'!P$5:P$30)</f>
        <v>0</v>
      </c>
      <c r="M10" s="19">
        <f>SUMPRODUCT(('Daily Sales'!$C$5:$C$30="Food")*'Daily Sales'!$E$5:$E$30*'Daily Sales'!Q$5:Q$30)</f>
        <v>0</v>
      </c>
      <c r="N10" s="19">
        <f>SUMPRODUCT(('Daily Sales'!$C$5:$C$30="Food")*'Daily Sales'!$E$5:$E$30*'Daily Sales'!R$5:R$30)</f>
        <v>0</v>
      </c>
      <c r="O10" s="19">
        <f>SUMPRODUCT(('Daily Sales'!$C$5:$C$30="Food")*'Daily Sales'!$E$5:$E$30*'Daily Sales'!S$5:S$30)</f>
        <v>0</v>
      </c>
      <c r="P10" s="19">
        <f>SUMPRODUCT(('Daily Sales'!$C$5:$C$30="Food")*'Daily Sales'!$E$5:$E$30*'Daily Sales'!T$5:T$30)</f>
        <v>0</v>
      </c>
      <c r="Q10" s="19">
        <f>SUMPRODUCT(('Daily Sales'!$C$5:$C$30="Food")*'Daily Sales'!$E$5:$E$30*'Daily Sales'!U$5:U$30)</f>
        <v>0</v>
      </c>
      <c r="R10" s="19">
        <f>SUMPRODUCT(('Daily Sales'!$C$5:$C$30="Food")*'Daily Sales'!$E$5:$E$30*'Daily Sales'!V$5:V$30)</f>
        <v>0</v>
      </c>
      <c r="S10" s="19">
        <f>SUMPRODUCT(('Daily Sales'!$C$5:$C$30="Food")*'Daily Sales'!$E$5:$E$30*'Daily Sales'!W$5:W$30)</f>
        <v>0</v>
      </c>
      <c r="T10" s="19">
        <f>SUMPRODUCT(('Daily Sales'!$C$5:$C$30="Food")*'Daily Sales'!$E$5:$E$30*'Daily Sales'!X$5:X$30)</f>
        <v>0</v>
      </c>
      <c r="U10" s="19">
        <f>SUMPRODUCT(('Daily Sales'!$C$5:$C$30="Food")*'Daily Sales'!$E$5:$E$30*'Daily Sales'!Y$5:Y$30)</f>
        <v>0</v>
      </c>
      <c r="V10" s="19">
        <f>SUMPRODUCT(('Daily Sales'!$C$5:$C$30="Food")*'Daily Sales'!$E$5:$E$30*'Daily Sales'!Z$5:Z$30)</f>
        <v>0</v>
      </c>
      <c r="W10" s="19">
        <f>SUMPRODUCT(('Daily Sales'!$C$5:$C$30="Food")*'Daily Sales'!$E$5:$E$30*'Daily Sales'!AA$5:AA$30)</f>
        <v>0</v>
      </c>
      <c r="X10" s="19">
        <f>SUMPRODUCT(('Daily Sales'!$C$5:$C$30="Food")*'Daily Sales'!$E$5:$E$30*'Daily Sales'!AB$5:AB$30)</f>
        <v>0</v>
      </c>
      <c r="Y10" s="19">
        <f>SUMPRODUCT(('Daily Sales'!$C$5:$C$30="Food")*'Daily Sales'!$E$5:$E$30*'Daily Sales'!AC$5:AC$30)</f>
        <v>0</v>
      </c>
      <c r="Z10" s="19">
        <f>SUMPRODUCT(('Daily Sales'!$C$5:$C$30="Food")*'Daily Sales'!$E$5:$E$30*'Daily Sales'!AD$5:AD$30)</f>
        <v>0</v>
      </c>
      <c r="AA10" s="19">
        <f>SUMPRODUCT(('Daily Sales'!$C$5:$C$30="Food")*'Daily Sales'!$E$5:$E$30*'Daily Sales'!AE$5:AE$30)</f>
        <v>0</v>
      </c>
      <c r="AB10" s="19">
        <f>SUMPRODUCT(('Daily Sales'!$C$5:$C$30="Food")*'Daily Sales'!$E$5:$E$30*'Daily Sales'!AF$5:AF$30)</f>
        <v>0</v>
      </c>
      <c r="AC10" s="19">
        <f>SUMPRODUCT(('Daily Sales'!$C$5:$C$30="Food")*'Daily Sales'!$E$5:$E$30*'Daily Sales'!AG$5:AG$30)</f>
        <v>0</v>
      </c>
      <c r="AD10" s="19">
        <f>SUMPRODUCT(('Daily Sales'!$C$5:$C$30="Food")*'Daily Sales'!$E$5:$E$30*'Daily Sales'!AH$5:AH$30)</f>
        <v>0</v>
      </c>
      <c r="AE10" s="19">
        <f>SUMPRODUCT(('Daily Sales'!$C$5:$C$30="Food")*'Daily Sales'!$E$5:$E$30*'Daily Sales'!AI$5:AI$30)</f>
        <v>0</v>
      </c>
      <c r="AF10" s="19">
        <f>SUMPRODUCT(('Daily Sales'!$C$5:$C$30="Food")*'Daily Sales'!$E$5:$E$30*'Daily Sales'!AJ$5:AJ$30)</f>
        <v>0</v>
      </c>
      <c r="AG10" s="19">
        <f t="shared" si="0"/>
        <v>59046.350000000006</v>
      </c>
    </row>
    <row r="11" spans="1:33" x14ac:dyDescent="0.3">
      <c r="A11" s="16" t="s">
        <v>655</v>
      </c>
      <c r="B11" s="19">
        <f>SUMPRODUCT(('Daily Sales'!$C$5:$C$30="Beverage")*'Daily Sales'!$E$5:$E$30*'Daily Sales'!F$5:F$30)</f>
        <v>2707.7000000000003</v>
      </c>
      <c r="C11" s="19">
        <f>SUMPRODUCT(('Daily Sales'!$C$5:$C$30="Beverage")*'Daily Sales'!$E$5:$E$30*'Daily Sales'!G$5:G$30)</f>
        <v>2700.45</v>
      </c>
      <c r="D11" s="19">
        <f>SUMPRODUCT(('Daily Sales'!$C$5:$C$30="Beverage")*'Daily Sales'!$E$5:$E$30*'Daily Sales'!H$5:H$30)</f>
        <v>2719.1499999999996</v>
      </c>
      <c r="E11" s="19">
        <f>SUMPRODUCT(('Daily Sales'!$C$5:$C$30="Beverage")*'Daily Sales'!$E$5:$E$30*'Daily Sales'!I$5:I$30)</f>
        <v>2693</v>
      </c>
      <c r="F11" s="19">
        <f>SUMPRODUCT(('Daily Sales'!$C$5:$C$30="Beverage")*'Daily Sales'!$E$5:$E$30*'Daily Sales'!J$5:J$30)</f>
        <v>2616.9499999999998</v>
      </c>
      <c r="G11" s="19">
        <f>SUMPRODUCT(('Daily Sales'!$C$5:$C$30="Beverage")*'Daily Sales'!$E$5:$E$30*'Daily Sales'!K$5:K$30)</f>
        <v>2834.05</v>
      </c>
      <c r="H11" s="19">
        <f>SUMPRODUCT(('Daily Sales'!$C$5:$C$30="Beverage")*'Daily Sales'!$E$5:$E$30*'Daily Sales'!L$5:L$30)</f>
        <v>3020.3999999999996</v>
      </c>
      <c r="I11" s="19">
        <f>SUMPRODUCT(('Daily Sales'!$C$5:$C$30="Beverage")*'Daily Sales'!$E$5:$E$30*'Daily Sales'!M$5:M$30)</f>
        <v>0</v>
      </c>
      <c r="J11" s="19">
        <f>SUMPRODUCT(('Daily Sales'!$C$5:$C$30="Beverage")*'Daily Sales'!$E$5:$E$30*'Daily Sales'!N$5:N$30)</f>
        <v>0</v>
      </c>
      <c r="K11" s="19">
        <f>SUMPRODUCT(('Daily Sales'!$C$5:$C$30="Beverage")*'Daily Sales'!$E$5:$E$30*'Daily Sales'!O$5:O$30)</f>
        <v>0</v>
      </c>
      <c r="L11" s="19">
        <f>SUMPRODUCT(('Daily Sales'!$C$5:$C$30="Beverage")*'Daily Sales'!$E$5:$E$30*'Daily Sales'!P$5:P$30)</f>
        <v>0</v>
      </c>
      <c r="M11" s="19">
        <f>SUMPRODUCT(('Daily Sales'!$C$5:$C$30="Beverage")*'Daily Sales'!$E$5:$E$30*'Daily Sales'!Q$5:Q$30)</f>
        <v>0</v>
      </c>
      <c r="N11" s="19">
        <f>SUMPRODUCT(('Daily Sales'!$C$5:$C$30="Beverage")*'Daily Sales'!$E$5:$E$30*'Daily Sales'!R$5:R$30)</f>
        <v>0</v>
      </c>
      <c r="O11" s="19">
        <f>SUMPRODUCT(('Daily Sales'!$C$5:$C$30="Beverage")*'Daily Sales'!$E$5:$E$30*'Daily Sales'!S$5:S$30)</f>
        <v>0</v>
      </c>
      <c r="P11" s="19">
        <f>SUMPRODUCT(('Daily Sales'!$C$5:$C$30="Beverage")*'Daily Sales'!$E$5:$E$30*'Daily Sales'!T$5:T$30)</f>
        <v>0</v>
      </c>
      <c r="Q11" s="19">
        <f>SUMPRODUCT(('Daily Sales'!$C$5:$C$30="Beverage")*'Daily Sales'!$E$5:$E$30*'Daily Sales'!U$5:U$30)</f>
        <v>0</v>
      </c>
      <c r="R11" s="19">
        <f>SUMPRODUCT(('Daily Sales'!$C$5:$C$30="Beverage")*'Daily Sales'!$E$5:$E$30*'Daily Sales'!V$5:V$30)</f>
        <v>0</v>
      </c>
      <c r="S11" s="19">
        <f>SUMPRODUCT(('Daily Sales'!$C$5:$C$30="Beverage")*'Daily Sales'!$E$5:$E$30*'Daily Sales'!W$5:W$30)</f>
        <v>0</v>
      </c>
      <c r="T11" s="19">
        <f>SUMPRODUCT(('Daily Sales'!$C$5:$C$30="Beverage")*'Daily Sales'!$E$5:$E$30*'Daily Sales'!X$5:X$30)</f>
        <v>0</v>
      </c>
      <c r="U11" s="19">
        <f>SUMPRODUCT(('Daily Sales'!$C$5:$C$30="Beverage")*'Daily Sales'!$E$5:$E$30*'Daily Sales'!Y$5:Y$30)</f>
        <v>0</v>
      </c>
      <c r="V11" s="19">
        <f>SUMPRODUCT(('Daily Sales'!$C$5:$C$30="Beverage")*'Daily Sales'!$E$5:$E$30*'Daily Sales'!Z$5:Z$30)</f>
        <v>0</v>
      </c>
      <c r="W11" s="19">
        <f>SUMPRODUCT(('Daily Sales'!$C$5:$C$30="Beverage")*'Daily Sales'!$E$5:$E$30*'Daily Sales'!AA$5:AA$30)</f>
        <v>0</v>
      </c>
      <c r="X11" s="19">
        <f>SUMPRODUCT(('Daily Sales'!$C$5:$C$30="Beverage")*'Daily Sales'!$E$5:$E$30*'Daily Sales'!AB$5:AB$30)</f>
        <v>0</v>
      </c>
      <c r="Y11" s="19">
        <f>SUMPRODUCT(('Daily Sales'!$C$5:$C$30="Beverage")*'Daily Sales'!$E$5:$E$30*'Daily Sales'!AC$5:AC$30)</f>
        <v>0</v>
      </c>
      <c r="Z11" s="19">
        <f>SUMPRODUCT(('Daily Sales'!$C$5:$C$30="Beverage")*'Daily Sales'!$E$5:$E$30*'Daily Sales'!AD$5:AD$30)</f>
        <v>0</v>
      </c>
      <c r="AA11" s="19">
        <f>SUMPRODUCT(('Daily Sales'!$C$5:$C$30="Beverage")*'Daily Sales'!$E$5:$E$30*'Daily Sales'!AE$5:AE$30)</f>
        <v>0</v>
      </c>
      <c r="AB11" s="19">
        <f>SUMPRODUCT(('Daily Sales'!$C$5:$C$30="Beverage")*'Daily Sales'!$E$5:$E$30*'Daily Sales'!AF$5:AF$30)</f>
        <v>0</v>
      </c>
      <c r="AC11" s="19">
        <f>SUMPRODUCT(('Daily Sales'!$C$5:$C$30="Beverage")*'Daily Sales'!$E$5:$E$30*'Daily Sales'!AG$5:AG$30)</f>
        <v>0</v>
      </c>
      <c r="AD11" s="19">
        <f>SUMPRODUCT(('Daily Sales'!$C$5:$C$30="Beverage")*'Daily Sales'!$E$5:$E$30*'Daily Sales'!AH$5:AH$30)</f>
        <v>0</v>
      </c>
      <c r="AE11" s="19">
        <f>SUMPRODUCT(('Daily Sales'!$C$5:$C$30="Beverage")*'Daily Sales'!$E$5:$E$30*'Daily Sales'!AI$5:AI$30)</f>
        <v>0</v>
      </c>
      <c r="AF11" s="19">
        <f>SUMPRODUCT(('Daily Sales'!$C$5:$C$30="Beverage")*'Daily Sales'!$E$5:$E$30*'Daily Sales'!AJ$5:AJ$30)</f>
        <v>0</v>
      </c>
      <c r="AG11" s="19">
        <f t="shared" si="0"/>
        <v>19291.699999999997</v>
      </c>
    </row>
    <row r="12" spans="1:33" x14ac:dyDescent="0.3">
      <c r="A12" s="28" t="s">
        <v>656</v>
      </c>
      <c r="B12" s="55">
        <f t="shared" ref="B12:AF12" si="3">B10+B11</f>
        <v>11428.850000000002</v>
      </c>
      <c r="C12" s="55">
        <f t="shared" si="3"/>
        <v>11949.099999999999</v>
      </c>
      <c r="D12" s="55">
        <f t="shared" si="3"/>
        <v>9637.5499999999993</v>
      </c>
      <c r="E12" s="55">
        <f t="shared" si="3"/>
        <v>11439.75</v>
      </c>
      <c r="F12" s="55">
        <f t="shared" si="3"/>
        <v>10808.849999999999</v>
      </c>
      <c r="G12" s="55">
        <f t="shared" si="3"/>
        <v>11819.95</v>
      </c>
      <c r="H12" s="55">
        <f t="shared" si="3"/>
        <v>11254.000000000002</v>
      </c>
      <c r="I12" s="55">
        <f t="shared" si="3"/>
        <v>0</v>
      </c>
      <c r="J12" s="55">
        <f t="shared" si="3"/>
        <v>0</v>
      </c>
      <c r="K12" s="55">
        <f t="shared" si="3"/>
        <v>0</v>
      </c>
      <c r="L12" s="55">
        <f t="shared" si="3"/>
        <v>0</v>
      </c>
      <c r="M12" s="55">
        <f t="shared" si="3"/>
        <v>0</v>
      </c>
      <c r="N12" s="55">
        <f t="shared" si="3"/>
        <v>0</v>
      </c>
      <c r="O12" s="55">
        <f t="shared" si="3"/>
        <v>0</v>
      </c>
      <c r="P12" s="55">
        <f t="shared" si="3"/>
        <v>0</v>
      </c>
      <c r="Q12" s="55">
        <f t="shared" si="3"/>
        <v>0</v>
      </c>
      <c r="R12" s="55">
        <f t="shared" si="3"/>
        <v>0</v>
      </c>
      <c r="S12" s="55">
        <f t="shared" si="3"/>
        <v>0</v>
      </c>
      <c r="T12" s="55">
        <f t="shared" si="3"/>
        <v>0</v>
      </c>
      <c r="U12" s="55">
        <f t="shared" si="3"/>
        <v>0</v>
      </c>
      <c r="V12" s="55">
        <f t="shared" si="3"/>
        <v>0</v>
      </c>
      <c r="W12" s="55">
        <f t="shared" si="3"/>
        <v>0</v>
      </c>
      <c r="X12" s="55">
        <f t="shared" si="3"/>
        <v>0</v>
      </c>
      <c r="Y12" s="55">
        <f t="shared" si="3"/>
        <v>0</v>
      </c>
      <c r="Z12" s="55">
        <f t="shared" si="3"/>
        <v>0</v>
      </c>
      <c r="AA12" s="55">
        <f t="shared" si="3"/>
        <v>0</v>
      </c>
      <c r="AB12" s="55">
        <f t="shared" si="3"/>
        <v>0</v>
      </c>
      <c r="AC12" s="55">
        <f t="shared" si="3"/>
        <v>0</v>
      </c>
      <c r="AD12" s="55">
        <f t="shared" si="3"/>
        <v>0</v>
      </c>
      <c r="AE12" s="55">
        <f t="shared" si="3"/>
        <v>0</v>
      </c>
      <c r="AF12" s="55">
        <f t="shared" si="3"/>
        <v>0</v>
      </c>
      <c r="AG12" s="30">
        <f t="shared" si="0"/>
        <v>78338.05</v>
      </c>
    </row>
    <row r="13" spans="1:33" x14ac:dyDescent="0.3">
      <c r="A13" s="16" t="s">
        <v>657</v>
      </c>
      <c r="B13" s="19">
        <f>SUMIF('Store Issue'!$G$45:$O$45,B$3,'Store Issue'!$G$46:$O$46)</f>
        <v>0</v>
      </c>
      <c r="C13" s="19">
        <f>SUMIF('Store Issue'!$G$45:$O$45,C$3,'Store Issue'!$G$46:$O$46)</f>
        <v>0</v>
      </c>
      <c r="D13" s="19">
        <f>SUMIF('Store Issue'!$G$45:$O$45,D$3,'Store Issue'!$G$46:$O$46)</f>
        <v>0</v>
      </c>
      <c r="E13" s="19">
        <f>SUMIF('Store Issue'!$G$45:$O$45,E$3,'Store Issue'!$G$46:$O$46)</f>
        <v>57137.058823529413</v>
      </c>
      <c r="F13" s="19">
        <f>SUMIF('Store Issue'!$G$45:$O$45,F$3,'Store Issue'!$G$46:$O$46)</f>
        <v>0</v>
      </c>
      <c r="G13" s="19">
        <f>SUMIF('Store Issue'!$G$45:$O$45,G$3,'Store Issue'!$G$46:$O$46)</f>
        <v>0</v>
      </c>
      <c r="H13" s="19">
        <f>SUMIF('Store Issue'!$G$45:$O$45,H$3,'Store Issue'!$G$46:$O$46)</f>
        <v>0</v>
      </c>
      <c r="I13" s="19">
        <f>SUMIF('Store Issue'!$G$45:$O$45,I$3,'Store Issue'!$G$46:$O$46)</f>
        <v>0</v>
      </c>
      <c r="J13" s="19">
        <f>SUMIF('Store Issue'!$G$45:$O$45,J$3,'Store Issue'!$G$46:$O$46)</f>
        <v>0</v>
      </c>
      <c r="K13" s="19">
        <f>SUMIF('Store Issue'!$G$45:$O$45,K$3,'Store Issue'!$G$46:$O$46)</f>
        <v>0</v>
      </c>
      <c r="L13" s="19">
        <f>SUMIF('Store Issue'!$G$45:$O$45,L$3,'Store Issue'!$G$46:$O$46)</f>
        <v>0</v>
      </c>
      <c r="M13" s="19">
        <f>SUMIF('Store Issue'!$G$45:$O$45,M$3,'Store Issue'!$G$46:$O$46)</f>
        <v>0</v>
      </c>
      <c r="N13" s="19">
        <f>SUMIF('Store Issue'!$G$45:$O$45,N$3,'Store Issue'!$G$46:$O$46)</f>
        <v>0</v>
      </c>
      <c r="O13" s="19">
        <f>SUMIF('Store Issue'!$G$45:$O$45,O$3,'Store Issue'!$G$46:$O$46)</f>
        <v>0</v>
      </c>
      <c r="P13" s="19">
        <f>SUMIF('Store Issue'!$G$45:$O$45,P$3,'Store Issue'!$G$46:$O$46)</f>
        <v>0</v>
      </c>
      <c r="Q13" s="19">
        <f>SUMIF('Store Issue'!$G$45:$O$45,Q$3,'Store Issue'!$G$46:$O$46)</f>
        <v>17916.313725490196</v>
      </c>
      <c r="R13" s="19">
        <f>SUMIF('Store Issue'!$G$45:$O$45,R$3,'Store Issue'!$G$46:$O$46)</f>
        <v>0</v>
      </c>
      <c r="S13" s="19">
        <f>SUMIF('Store Issue'!$G$45:$O$45,S$3,'Store Issue'!$G$46:$O$46)</f>
        <v>0</v>
      </c>
      <c r="T13" s="19">
        <f>SUMIF('Store Issue'!$G$45:$O$45,T$3,'Store Issue'!$G$46:$O$46)</f>
        <v>0</v>
      </c>
      <c r="U13" s="19">
        <f>SUMIF('Store Issue'!$G$45:$O$45,U$3,'Store Issue'!$G$46:$O$46)</f>
        <v>0</v>
      </c>
      <c r="V13" s="19">
        <f>SUMIF('Store Issue'!$G$45:$O$45,V$3,'Store Issue'!$G$46:$O$46)</f>
        <v>0</v>
      </c>
      <c r="W13" s="19">
        <f>SUMIF('Store Issue'!$G$45:$O$45,W$3,'Store Issue'!$G$46:$O$46)</f>
        <v>0</v>
      </c>
      <c r="X13" s="19">
        <f>SUMIF('Store Issue'!$G$45:$O$45,X$3,'Store Issue'!$G$46:$O$46)</f>
        <v>0</v>
      </c>
      <c r="Y13" s="19">
        <f>SUMIF('Store Issue'!$G$45:$O$45,Y$3,'Store Issue'!$G$46:$O$46)</f>
        <v>0</v>
      </c>
      <c r="Z13" s="19">
        <f>SUMIF('Store Issue'!$G$45:$O$45,Z$3,'Store Issue'!$G$46:$O$46)</f>
        <v>0</v>
      </c>
      <c r="AA13" s="19">
        <f>SUMIF('Store Issue'!$G$45:$O$45,AA$3,'Store Issue'!$G$46:$O$46)</f>
        <v>0</v>
      </c>
      <c r="AB13" s="19">
        <f>SUMIF('Store Issue'!$G$45:$O$45,AB$3,'Store Issue'!$G$46:$O$46)</f>
        <v>0</v>
      </c>
      <c r="AC13" s="19">
        <f>SUMIF('Store Issue'!$G$45:$O$45,AC$3,'Store Issue'!$G$46:$O$46)</f>
        <v>0</v>
      </c>
      <c r="AD13" s="19">
        <f>SUMIF('Store Issue'!$G$45:$O$45,AD$3,'Store Issue'!$G$46:$O$46)</f>
        <v>0</v>
      </c>
      <c r="AE13" s="19">
        <f>SUMIF('Store Issue'!$G$45:$O$45,AE$3,'Store Issue'!$G$46:$O$46)</f>
        <v>0</v>
      </c>
      <c r="AF13" s="19">
        <f>SUMIF('Store Issue'!$G$45:$O$45,AF$3,'Store Issue'!$G$46:$O$46)</f>
        <v>0</v>
      </c>
      <c r="AG13" s="19">
        <f t="shared" si="0"/>
        <v>75053.372549019608</v>
      </c>
    </row>
    <row r="14" spans="1:33" x14ac:dyDescent="0.3">
      <c r="A14" s="16" t="s">
        <v>658</v>
      </c>
      <c r="B14" s="19">
        <f>SUMIF('Store Issue'!$G$45:$O$45,B$3,'Store Issue'!$G$47:$O$47)</f>
        <v>0</v>
      </c>
      <c r="C14" s="19">
        <f>SUMIF('Store Issue'!$G$45:$O$45,C$3,'Store Issue'!$G$47:$O$47)</f>
        <v>0</v>
      </c>
      <c r="D14" s="19">
        <f>SUMIF('Store Issue'!$G$45:$O$45,D$3,'Store Issue'!$G$47:$O$47)</f>
        <v>0</v>
      </c>
      <c r="E14" s="19">
        <f>SUMIF('Store Issue'!$G$45:$O$45,E$3,'Store Issue'!$G$47:$O$47)</f>
        <v>29885.76923076923</v>
      </c>
      <c r="F14" s="19">
        <f>SUMIF('Store Issue'!$G$45:$O$45,F$3,'Store Issue'!$G$47:$O$47)</f>
        <v>0</v>
      </c>
      <c r="G14" s="19">
        <f>SUMIF('Store Issue'!$G$45:$O$45,G$3,'Store Issue'!$G$47:$O$47)</f>
        <v>0</v>
      </c>
      <c r="H14" s="19">
        <f>SUMIF('Store Issue'!$G$45:$O$45,H$3,'Store Issue'!$G$47:$O$47)</f>
        <v>0</v>
      </c>
      <c r="I14" s="19">
        <f>SUMIF('Store Issue'!$G$45:$O$45,I$3,'Store Issue'!$G$47:$O$47)</f>
        <v>0</v>
      </c>
      <c r="J14" s="19">
        <f>SUMIF('Store Issue'!$G$45:$O$45,J$3,'Store Issue'!$G$47:$O$47)</f>
        <v>0</v>
      </c>
      <c r="K14" s="19">
        <f>SUMIF('Store Issue'!$G$45:$O$45,K$3,'Store Issue'!$G$47:$O$47)</f>
        <v>0</v>
      </c>
      <c r="L14" s="19">
        <f>SUMIF('Store Issue'!$G$45:$O$45,L$3,'Store Issue'!$G$47:$O$47)</f>
        <v>0</v>
      </c>
      <c r="M14" s="19">
        <f>SUMIF('Store Issue'!$G$45:$O$45,M$3,'Store Issue'!$G$47:$O$47)</f>
        <v>0</v>
      </c>
      <c r="N14" s="19">
        <f>SUMIF('Store Issue'!$G$45:$O$45,N$3,'Store Issue'!$G$47:$O$47)</f>
        <v>0</v>
      </c>
      <c r="O14" s="19">
        <f>SUMIF('Store Issue'!$G$45:$O$45,O$3,'Store Issue'!$G$47:$O$47)</f>
        <v>0</v>
      </c>
      <c r="P14" s="19">
        <f>SUMIF('Store Issue'!$G$45:$O$45,P$3,'Store Issue'!$G$47:$O$47)</f>
        <v>0</v>
      </c>
      <c r="Q14" s="19">
        <f>SUMIF('Store Issue'!$G$45:$O$45,Q$3,'Store Issue'!$G$47:$O$47)</f>
        <v>2618.4615384615386</v>
      </c>
      <c r="R14" s="19">
        <f>SUMIF('Store Issue'!$G$45:$O$45,R$3,'Store Issue'!$G$47:$O$47)</f>
        <v>0</v>
      </c>
      <c r="S14" s="19">
        <f>SUMIF('Store Issue'!$G$45:$O$45,S$3,'Store Issue'!$G$47:$O$47)</f>
        <v>0</v>
      </c>
      <c r="T14" s="19">
        <f>SUMIF('Store Issue'!$G$45:$O$45,T$3,'Store Issue'!$G$47:$O$47)</f>
        <v>0</v>
      </c>
      <c r="U14" s="19">
        <f>SUMIF('Store Issue'!$G$45:$O$45,U$3,'Store Issue'!$G$47:$O$47)</f>
        <v>0</v>
      </c>
      <c r="V14" s="19">
        <f>SUMIF('Store Issue'!$G$45:$O$45,V$3,'Store Issue'!$G$47:$O$47)</f>
        <v>0</v>
      </c>
      <c r="W14" s="19">
        <f>SUMIF('Store Issue'!$G$45:$O$45,W$3,'Store Issue'!$G$47:$O$47)</f>
        <v>0</v>
      </c>
      <c r="X14" s="19">
        <f>SUMIF('Store Issue'!$G$45:$O$45,X$3,'Store Issue'!$G$47:$O$47)</f>
        <v>0</v>
      </c>
      <c r="Y14" s="19">
        <f>SUMIF('Store Issue'!$G$45:$O$45,Y$3,'Store Issue'!$G$47:$O$47)</f>
        <v>0</v>
      </c>
      <c r="Z14" s="19">
        <f>SUMIF('Store Issue'!$G$45:$O$45,Z$3,'Store Issue'!$G$47:$O$47)</f>
        <v>0</v>
      </c>
      <c r="AA14" s="19">
        <f>SUMIF('Store Issue'!$G$45:$O$45,AA$3,'Store Issue'!$G$47:$O$47)</f>
        <v>0</v>
      </c>
      <c r="AB14" s="19">
        <f>SUMIF('Store Issue'!$G$45:$O$45,AB$3,'Store Issue'!$G$47:$O$47)</f>
        <v>0</v>
      </c>
      <c r="AC14" s="19">
        <f>SUMIF('Store Issue'!$G$45:$O$45,AC$3,'Store Issue'!$G$47:$O$47)</f>
        <v>0</v>
      </c>
      <c r="AD14" s="19">
        <f>SUMIF('Store Issue'!$G$45:$O$45,AD$3,'Store Issue'!$G$47:$O$47)</f>
        <v>0</v>
      </c>
      <c r="AE14" s="19">
        <f>SUMIF('Store Issue'!$G$45:$O$45,AE$3,'Store Issue'!$G$47:$O$47)</f>
        <v>0</v>
      </c>
      <c r="AF14" s="19">
        <f>SUMIF('Store Issue'!$G$45:$O$45,AF$3,'Store Issue'!$G$47:$O$47)</f>
        <v>0</v>
      </c>
      <c r="AG14" s="19">
        <f t="shared" si="0"/>
        <v>32504.23076923077</v>
      </c>
    </row>
    <row r="15" spans="1:33" x14ac:dyDescent="0.3">
      <c r="A15" s="28" t="s">
        <v>659</v>
      </c>
      <c r="B15" s="55">
        <f t="shared" ref="B15:AF15" si="4">B13+B14</f>
        <v>0</v>
      </c>
      <c r="C15" s="55">
        <f t="shared" si="4"/>
        <v>0</v>
      </c>
      <c r="D15" s="55">
        <f t="shared" si="4"/>
        <v>0</v>
      </c>
      <c r="E15" s="55">
        <f t="shared" si="4"/>
        <v>87022.828054298647</v>
      </c>
      <c r="F15" s="55">
        <f t="shared" si="4"/>
        <v>0</v>
      </c>
      <c r="G15" s="55">
        <f t="shared" si="4"/>
        <v>0</v>
      </c>
      <c r="H15" s="55">
        <f t="shared" si="4"/>
        <v>0</v>
      </c>
      <c r="I15" s="55">
        <f t="shared" si="4"/>
        <v>0</v>
      </c>
      <c r="J15" s="55">
        <f t="shared" si="4"/>
        <v>0</v>
      </c>
      <c r="K15" s="55">
        <f t="shared" si="4"/>
        <v>0</v>
      </c>
      <c r="L15" s="55">
        <f t="shared" si="4"/>
        <v>0</v>
      </c>
      <c r="M15" s="55">
        <f t="shared" si="4"/>
        <v>0</v>
      </c>
      <c r="N15" s="55">
        <f t="shared" si="4"/>
        <v>0</v>
      </c>
      <c r="O15" s="55">
        <f t="shared" si="4"/>
        <v>0</v>
      </c>
      <c r="P15" s="55">
        <f t="shared" si="4"/>
        <v>0</v>
      </c>
      <c r="Q15" s="55">
        <f t="shared" si="4"/>
        <v>20534.775263951735</v>
      </c>
      <c r="R15" s="55">
        <f t="shared" si="4"/>
        <v>0</v>
      </c>
      <c r="S15" s="55">
        <f t="shared" si="4"/>
        <v>0</v>
      </c>
      <c r="T15" s="55">
        <f t="shared" si="4"/>
        <v>0</v>
      </c>
      <c r="U15" s="55">
        <f t="shared" si="4"/>
        <v>0</v>
      </c>
      <c r="V15" s="55">
        <f t="shared" si="4"/>
        <v>0</v>
      </c>
      <c r="W15" s="55">
        <f t="shared" si="4"/>
        <v>0</v>
      </c>
      <c r="X15" s="55">
        <f t="shared" si="4"/>
        <v>0</v>
      </c>
      <c r="Y15" s="55">
        <f t="shared" si="4"/>
        <v>0</v>
      </c>
      <c r="Z15" s="55">
        <f t="shared" si="4"/>
        <v>0</v>
      </c>
      <c r="AA15" s="55">
        <f t="shared" si="4"/>
        <v>0</v>
      </c>
      <c r="AB15" s="55">
        <f t="shared" si="4"/>
        <v>0</v>
      </c>
      <c r="AC15" s="55">
        <f t="shared" si="4"/>
        <v>0</v>
      </c>
      <c r="AD15" s="55">
        <f t="shared" si="4"/>
        <v>0</v>
      </c>
      <c r="AE15" s="55">
        <f t="shared" si="4"/>
        <v>0</v>
      </c>
      <c r="AF15" s="55">
        <f t="shared" si="4"/>
        <v>0</v>
      </c>
      <c r="AG15" s="30">
        <f t="shared" si="0"/>
        <v>107557.60331825039</v>
      </c>
    </row>
    <row r="16" spans="1:33" x14ac:dyDescent="0.3">
      <c r="A16" s="16" t="s">
        <v>660</v>
      </c>
      <c r="B16" s="19">
        <f>SUMIFS(Wastage!$I:$I,Wastage!$B:$B,B$3,Wastage!$E:$E,"Food")</f>
        <v>0</v>
      </c>
      <c r="C16" s="19">
        <f>SUMIFS(Wastage!$I:$I,Wastage!$B:$B,C$3,Wastage!$E:$E,"Food")</f>
        <v>82.5</v>
      </c>
      <c r="D16" s="19">
        <f>SUMIFS(Wastage!$I:$I,Wastage!$B:$B,D$3,Wastage!$E:$E,"Food")</f>
        <v>48</v>
      </c>
      <c r="E16" s="19">
        <f>SUMIFS(Wastage!$I:$I,Wastage!$B:$B,E$3,Wastage!$E:$E,"Food")</f>
        <v>0</v>
      </c>
      <c r="F16" s="19">
        <f>SUMIFS(Wastage!$I:$I,Wastage!$B:$B,F$3,Wastage!$E:$E,"Food")</f>
        <v>24</v>
      </c>
      <c r="G16" s="19">
        <f>SUMIFS(Wastage!$I:$I,Wastage!$B:$B,G$3,Wastage!$E:$E,"Food")</f>
        <v>0</v>
      </c>
      <c r="H16" s="19">
        <f>SUMIFS(Wastage!$I:$I,Wastage!$B:$B,H$3,Wastage!$E:$E,"Food")</f>
        <v>0</v>
      </c>
      <c r="I16" s="19">
        <f>SUMIFS(Wastage!$I:$I,Wastage!$B:$B,I$3,Wastage!$E:$E,"Food")</f>
        <v>0</v>
      </c>
      <c r="J16" s="19">
        <f>SUMIFS(Wastage!$I:$I,Wastage!$B:$B,J$3,Wastage!$E:$E,"Food")</f>
        <v>0</v>
      </c>
      <c r="K16" s="19">
        <f>SUMIFS(Wastage!$I:$I,Wastage!$B:$B,K$3,Wastage!$E:$E,"Food")</f>
        <v>0</v>
      </c>
      <c r="L16" s="19">
        <f>SUMIFS(Wastage!$I:$I,Wastage!$B:$B,L$3,Wastage!$E:$E,"Food")</f>
        <v>0</v>
      </c>
      <c r="M16" s="19">
        <f>SUMIFS(Wastage!$I:$I,Wastage!$B:$B,M$3,Wastage!$E:$E,"Food")</f>
        <v>0</v>
      </c>
      <c r="N16" s="19">
        <f>SUMIFS(Wastage!$I:$I,Wastage!$B:$B,N$3,Wastage!$E:$E,"Food")</f>
        <v>0</v>
      </c>
      <c r="O16" s="19">
        <f>SUMIFS(Wastage!$I:$I,Wastage!$B:$B,O$3,Wastage!$E:$E,"Food")</f>
        <v>0</v>
      </c>
      <c r="P16" s="19">
        <f>SUMIFS(Wastage!$I:$I,Wastage!$B:$B,P$3,Wastage!$E:$E,"Food")</f>
        <v>0</v>
      </c>
      <c r="Q16" s="19">
        <f>SUMIFS(Wastage!$I:$I,Wastage!$B:$B,Q$3,Wastage!$E:$E,"Food")</f>
        <v>0</v>
      </c>
      <c r="R16" s="19">
        <f>SUMIFS(Wastage!$I:$I,Wastage!$B:$B,R$3,Wastage!$E:$E,"Food")</f>
        <v>0</v>
      </c>
      <c r="S16" s="19">
        <f>SUMIFS(Wastage!$I:$I,Wastage!$B:$B,S$3,Wastage!$E:$E,"Food")</f>
        <v>0</v>
      </c>
      <c r="T16" s="19">
        <f>SUMIFS(Wastage!$I:$I,Wastage!$B:$B,T$3,Wastage!$E:$E,"Food")</f>
        <v>0</v>
      </c>
      <c r="U16" s="19">
        <f>SUMIFS(Wastage!$I:$I,Wastage!$B:$B,U$3,Wastage!$E:$E,"Food")</f>
        <v>0</v>
      </c>
      <c r="V16" s="19">
        <f>SUMIFS(Wastage!$I:$I,Wastage!$B:$B,V$3,Wastage!$E:$E,"Food")</f>
        <v>0</v>
      </c>
      <c r="W16" s="19">
        <f>SUMIFS(Wastage!$I:$I,Wastage!$B:$B,W$3,Wastage!$E:$E,"Food")</f>
        <v>0</v>
      </c>
      <c r="X16" s="19">
        <f>SUMIFS(Wastage!$I:$I,Wastage!$B:$B,X$3,Wastage!$E:$E,"Food")</f>
        <v>0</v>
      </c>
      <c r="Y16" s="19">
        <f>SUMIFS(Wastage!$I:$I,Wastage!$B:$B,Y$3,Wastage!$E:$E,"Food")</f>
        <v>0</v>
      </c>
      <c r="Z16" s="19">
        <f>SUMIFS(Wastage!$I:$I,Wastage!$B:$B,Z$3,Wastage!$E:$E,"Food")</f>
        <v>0</v>
      </c>
      <c r="AA16" s="19">
        <f>SUMIFS(Wastage!$I:$I,Wastage!$B:$B,AA$3,Wastage!$E:$E,"Food")</f>
        <v>0</v>
      </c>
      <c r="AB16" s="19">
        <f>SUMIFS(Wastage!$I:$I,Wastage!$B:$B,AB$3,Wastage!$E:$E,"Food")</f>
        <v>0</v>
      </c>
      <c r="AC16" s="19">
        <f>SUMIFS(Wastage!$I:$I,Wastage!$B:$B,AC$3,Wastage!$E:$E,"Food")</f>
        <v>0</v>
      </c>
      <c r="AD16" s="19">
        <f>SUMIFS(Wastage!$I:$I,Wastage!$B:$B,AD$3,Wastage!$E:$E,"Food")</f>
        <v>0</v>
      </c>
      <c r="AE16" s="19">
        <f>SUMIFS(Wastage!$I:$I,Wastage!$B:$B,AE$3,Wastage!$E:$E,"Food")</f>
        <v>0</v>
      </c>
      <c r="AF16" s="19">
        <f>SUMIFS(Wastage!$I:$I,Wastage!$B:$B,AF$3,Wastage!$E:$E,"Food")</f>
        <v>0</v>
      </c>
      <c r="AG16" s="19">
        <f t="shared" si="0"/>
        <v>154.5</v>
      </c>
    </row>
    <row r="17" spans="1:33" x14ac:dyDescent="0.3">
      <c r="A17" s="16" t="s">
        <v>661</v>
      </c>
      <c r="B17" s="19">
        <f>SUMIFS(Wastage!$I:$I,Wastage!$B:$B,B$3,Wastage!$E:$E,"Beverage")</f>
        <v>0</v>
      </c>
      <c r="C17" s="19">
        <f>SUMIFS(Wastage!$I:$I,Wastage!$B:$B,C$3,Wastage!$E:$E,"Beverage")</f>
        <v>0</v>
      </c>
      <c r="D17" s="19">
        <f>SUMIFS(Wastage!$I:$I,Wastage!$B:$B,D$3,Wastage!$E:$E,"Beverage")</f>
        <v>0</v>
      </c>
      <c r="E17" s="19">
        <f>SUMIFS(Wastage!$I:$I,Wastage!$B:$B,E$3,Wastage!$E:$E,"Beverage")</f>
        <v>65</v>
      </c>
      <c r="F17" s="19">
        <f>SUMIFS(Wastage!$I:$I,Wastage!$B:$B,F$3,Wastage!$E:$E,"Beverage")</f>
        <v>0</v>
      </c>
      <c r="G17" s="19">
        <f>SUMIFS(Wastage!$I:$I,Wastage!$B:$B,G$3,Wastage!$E:$E,"Beverage")</f>
        <v>0</v>
      </c>
      <c r="H17" s="19">
        <f>SUMIFS(Wastage!$I:$I,Wastage!$B:$B,H$3,Wastage!$E:$E,"Beverage")</f>
        <v>0</v>
      </c>
      <c r="I17" s="19">
        <f>SUMIFS(Wastage!$I:$I,Wastage!$B:$B,I$3,Wastage!$E:$E,"Beverage")</f>
        <v>0</v>
      </c>
      <c r="J17" s="19">
        <f>SUMIFS(Wastage!$I:$I,Wastage!$B:$B,J$3,Wastage!$E:$E,"Beverage")</f>
        <v>0</v>
      </c>
      <c r="K17" s="19">
        <f>SUMIFS(Wastage!$I:$I,Wastage!$B:$B,K$3,Wastage!$E:$E,"Beverage")</f>
        <v>0</v>
      </c>
      <c r="L17" s="19">
        <f>SUMIFS(Wastage!$I:$I,Wastage!$B:$B,L$3,Wastage!$E:$E,"Beverage")</f>
        <v>0</v>
      </c>
      <c r="M17" s="19">
        <f>SUMIFS(Wastage!$I:$I,Wastage!$B:$B,M$3,Wastage!$E:$E,"Beverage")</f>
        <v>0</v>
      </c>
      <c r="N17" s="19">
        <f>SUMIFS(Wastage!$I:$I,Wastage!$B:$B,N$3,Wastage!$E:$E,"Beverage")</f>
        <v>0</v>
      </c>
      <c r="O17" s="19">
        <f>SUMIFS(Wastage!$I:$I,Wastage!$B:$B,O$3,Wastage!$E:$E,"Beverage")</f>
        <v>0</v>
      </c>
      <c r="P17" s="19">
        <f>SUMIFS(Wastage!$I:$I,Wastage!$B:$B,P$3,Wastage!$E:$E,"Beverage")</f>
        <v>0</v>
      </c>
      <c r="Q17" s="19">
        <f>SUMIFS(Wastage!$I:$I,Wastage!$B:$B,Q$3,Wastage!$E:$E,"Beverage")</f>
        <v>0</v>
      </c>
      <c r="R17" s="19">
        <f>SUMIFS(Wastage!$I:$I,Wastage!$B:$B,R$3,Wastage!$E:$E,"Beverage")</f>
        <v>0</v>
      </c>
      <c r="S17" s="19">
        <f>SUMIFS(Wastage!$I:$I,Wastage!$B:$B,S$3,Wastage!$E:$E,"Beverage")</f>
        <v>0</v>
      </c>
      <c r="T17" s="19">
        <f>SUMIFS(Wastage!$I:$I,Wastage!$B:$B,T$3,Wastage!$E:$E,"Beverage")</f>
        <v>0</v>
      </c>
      <c r="U17" s="19">
        <f>SUMIFS(Wastage!$I:$I,Wastage!$B:$B,U$3,Wastage!$E:$E,"Beverage")</f>
        <v>0</v>
      </c>
      <c r="V17" s="19">
        <f>SUMIFS(Wastage!$I:$I,Wastage!$B:$B,V$3,Wastage!$E:$E,"Beverage")</f>
        <v>0</v>
      </c>
      <c r="W17" s="19">
        <f>SUMIFS(Wastage!$I:$I,Wastage!$B:$B,W$3,Wastage!$E:$E,"Beverage")</f>
        <v>0</v>
      </c>
      <c r="X17" s="19">
        <f>SUMIFS(Wastage!$I:$I,Wastage!$B:$B,X$3,Wastage!$E:$E,"Beverage")</f>
        <v>0</v>
      </c>
      <c r="Y17" s="19">
        <f>SUMIFS(Wastage!$I:$I,Wastage!$B:$B,Y$3,Wastage!$E:$E,"Beverage")</f>
        <v>0</v>
      </c>
      <c r="Z17" s="19">
        <f>SUMIFS(Wastage!$I:$I,Wastage!$B:$B,Z$3,Wastage!$E:$E,"Beverage")</f>
        <v>0</v>
      </c>
      <c r="AA17" s="19">
        <f>SUMIFS(Wastage!$I:$I,Wastage!$B:$B,AA$3,Wastage!$E:$E,"Beverage")</f>
        <v>0</v>
      </c>
      <c r="AB17" s="19">
        <f>SUMIFS(Wastage!$I:$I,Wastage!$B:$B,AB$3,Wastage!$E:$E,"Beverage")</f>
        <v>0</v>
      </c>
      <c r="AC17" s="19">
        <f>SUMIFS(Wastage!$I:$I,Wastage!$B:$B,AC$3,Wastage!$E:$E,"Beverage")</f>
        <v>0</v>
      </c>
      <c r="AD17" s="19">
        <f>SUMIFS(Wastage!$I:$I,Wastage!$B:$B,AD$3,Wastage!$E:$E,"Beverage")</f>
        <v>0</v>
      </c>
      <c r="AE17" s="19">
        <f>SUMIFS(Wastage!$I:$I,Wastage!$B:$B,AE$3,Wastage!$E:$E,"Beverage")</f>
        <v>0</v>
      </c>
      <c r="AF17" s="19">
        <f>SUMIFS(Wastage!$I:$I,Wastage!$B:$B,AF$3,Wastage!$E:$E,"Beverage")</f>
        <v>0</v>
      </c>
      <c r="AG17" s="19">
        <f t="shared" si="0"/>
        <v>65</v>
      </c>
    </row>
    <row r="18" spans="1:33" x14ac:dyDescent="0.3">
      <c r="A18" s="16" t="s">
        <v>662</v>
      </c>
      <c r="B18" s="19">
        <f>SUMIFS('Daily Staff Meal'!$H:$H,'Daily Staff Meal'!$B:$B,B$3)</f>
        <v>0</v>
      </c>
      <c r="C18" s="19">
        <f>SUMIFS('Daily Staff Meal'!$H:$H,'Daily Staff Meal'!$B:$B,C$3)</f>
        <v>960</v>
      </c>
      <c r="D18" s="19">
        <f>SUMIFS('Daily Staff Meal'!$H:$H,'Daily Staff Meal'!$B:$B,D$3)</f>
        <v>180</v>
      </c>
      <c r="E18" s="19">
        <f>SUMIFS('Daily Staff Meal'!$H:$H,'Daily Staff Meal'!$B:$B,E$3)</f>
        <v>48</v>
      </c>
      <c r="F18" s="19">
        <f>SUMIFS('Daily Staff Meal'!$H:$H,'Daily Staff Meal'!$B:$B,F$3)</f>
        <v>0</v>
      </c>
      <c r="G18" s="19">
        <f>SUMIFS('Daily Staff Meal'!$H:$H,'Daily Staff Meal'!$B:$B,G$3)</f>
        <v>0</v>
      </c>
      <c r="H18" s="19">
        <f>SUMIFS('Daily Staff Meal'!$H:$H,'Daily Staff Meal'!$B:$B,H$3)</f>
        <v>0</v>
      </c>
      <c r="I18" s="19">
        <f>SUMIFS('Daily Staff Meal'!$H:$H,'Daily Staff Meal'!$B:$B,I$3)</f>
        <v>0</v>
      </c>
      <c r="J18" s="19">
        <f>SUMIFS('Daily Staff Meal'!$H:$H,'Daily Staff Meal'!$B:$B,J$3)</f>
        <v>0</v>
      </c>
      <c r="K18" s="19">
        <f>SUMIFS('Daily Staff Meal'!$H:$H,'Daily Staff Meal'!$B:$B,K$3)</f>
        <v>0</v>
      </c>
      <c r="L18" s="19">
        <f>SUMIFS('Daily Staff Meal'!$H:$H,'Daily Staff Meal'!$B:$B,L$3)</f>
        <v>0</v>
      </c>
      <c r="M18" s="19">
        <f>SUMIFS('Daily Staff Meal'!$H:$H,'Daily Staff Meal'!$B:$B,M$3)</f>
        <v>0</v>
      </c>
      <c r="N18" s="19">
        <f>SUMIFS('Daily Staff Meal'!$H:$H,'Daily Staff Meal'!$B:$B,N$3)</f>
        <v>0</v>
      </c>
      <c r="O18" s="19">
        <f>SUMIFS('Daily Staff Meal'!$H:$H,'Daily Staff Meal'!$B:$B,O$3)</f>
        <v>0</v>
      </c>
      <c r="P18" s="19">
        <f>SUMIFS('Daily Staff Meal'!$H:$H,'Daily Staff Meal'!$B:$B,P$3)</f>
        <v>0</v>
      </c>
      <c r="Q18" s="19">
        <f>SUMIFS('Daily Staff Meal'!$H:$H,'Daily Staff Meal'!$B:$B,Q$3)</f>
        <v>0</v>
      </c>
      <c r="R18" s="19">
        <f>SUMIFS('Daily Staff Meal'!$H:$H,'Daily Staff Meal'!$B:$B,R$3)</f>
        <v>0</v>
      </c>
      <c r="S18" s="19">
        <f>SUMIFS('Daily Staff Meal'!$H:$H,'Daily Staff Meal'!$B:$B,S$3)</f>
        <v>0</v>
      </c>
      <c r="T18" s="19">
        <f>SUMIFS('Daily Staff Meal'!$H:$H,'Daily Staff Meal'!$B:$B,T$3)</f>
        <v>0</v>
      </c>
      <c r="U18" s="19">
        <f>SUMIFS('Daily Staff Meal'!$H:$H,'Daily Staff Meal'!$B:$B,U$3)</f>
        <v>0</v>
      </c>
      <c r="V18" s="19">
        <f>SUMIFS('Daily Staff Meal'!$H:$H,'Daily Staff Meal'!$B:$B,V$3)</f>
        <v>0</v>
      </c>
      <c r="W18" s="19">
        <f>SUMIFS('Daily Staff Meal'!$H:$H,'Daily Staff Meal'!$B:$B,W$3)</f>
        <v>0</v>
      </c>
      <c r="X18" s="19">
        <f>SUMIFS('Daily Staff Meal'!$H:$H,'Daily Staff Meal'!$B:$B,X$3)</f>
        <v>0</v>
      </c>
      <c r="Y18" s="19">
        <f>SUMIFS('Daily Staff Meal'!$H:$H,'Daily Staff Meal'!$B:$B,Y$3)</f>
        <v>0</v>
      </c>
      <c r="Z18" s="19">
        <f>SUMIFS('Daily Staff Meal'!$H:$H,'Daily Staff Meal'!$B:$B,Z$3)</f>
        <v>0</v>
      </c>
      <c r="AA18" s="19">
        <f>SUMIFS('Daily Staff Meal'!$H:$H,'Daily Staff Meal'!$B:$B,AA$3)</f>
        <v>0</v>
      </c>
      <c r="AB18" s="19">
        <f>SUMIFS('Daily Staff Meal'!$H:$H,'Daily Staff Meal'!$B:$B,AB$3)</f>
        <v>0</v>
      </c>
      <c r="AC18" s="19">
        <f>SUMIFS('Daily Staff Meal'!$H:$H,'Daily Staff Meal'!$B:$B,AC$3)</f>
        <v>0</v>
      </c>
      <c r="AD18" s="19">
        <f>SUMIFS('Daily Staff Meal'!$H:$H,'Daily Staff Meal'!$B:$B,AD$3)</f>
        <v>0</v>
      </c>
      <c r="AE18" s="19">
        <f>SUMIFS('Daily Staff Meal'!$H:$H,'Daily Staff Meal'!$B:$B,AE$3)</f>
        <v>0</v>
      </c>
      <c r="AF18" s="19">
        <f>SUMIFS('Daily Staff Meal'!$H:$H,'Daily Staff Meal'!$B:$B,AF$3)</f>
        <v>0</v>
      </c>
      <c r="AG18" s="19">
        <f t="shared" si="0"/>
        <v>1188</v>
      </c>
    </row>
    <row r="19" spans="1:33" x14ac:dyDescent="0.3">
      <c r="A19" s="16" t="s">
        <v>663</v>
      </c>
      <c r="B19" s="19">
        <v>0</v>
      </c>
      <c r="C19" s="19">
        <v>0</v>
      </c>
      <c r="D19" s="19">
        <v>0</v>
      </c>
      <c r="E19" s="19">
        <v>0</v>
      </c>
      <c r="F19" s="19">
        <v>0</v>
      </c>
      <c r="G19" s="19">
        <v>0</v>
      </c>
      <c r="H19" s="19">
        <v>0</v>
      </c>
      <c r="I19" s="19">
        <v>0</v>
      </c>
      <c r="J19" s="19">
        <v>0</v>
      </c>
      <c r="K19" s="19">
        <v>0</v>
      </c>
      <c r="L19" s="19">
        <v>0</v>
      </c>
      <c r="M19" s="19">
        <v>0</v>
      </c>
      <c r="N19" s="19">
        <v>0</v>
      </c>
      <c r="O19" s="19">
        <v>0</v>
      </c>
      <c r="P19" s="19">
        <v>0</v>
      </c>
      <c r="Q19" s="19">
        <v>0</v>
      </c>
      <c r="R19" s="19">
        <v>0</v>
      </c>
      <c r="S19" s="19">
        <v>0</v>
      </c>
      <c r="T19" s="19">
        <v>0</v>
      </c>
      <c r="U19" s="19">
        <v>0</v>
      </c>
      <c r="V19" s="19">
        <v>0</v>
      </c>
      <c r="W19" s="19">
        <v>0</v>
      </c>
      <c r="X19" s="19">
        <v>0</v>
      </c>
      <c r="Y19" s="19">
        <v>0</v>
      </c>
      <c r="Z19" s="19">
        <v>0</v>
      </c>
      <c r="AA19" s="19">
        <v>0</v>
      </c>
      <c r="AB19" s="19">
        <v>0</v>
      </c>
      <c r="AC19" s="19">
        <v>0</v>
      </c>
      <c r="AD19" s="19">
        <v>0</v>
      </c>
      <c r="AE19" s="19">
        <v>0</v>
      </c>
      <c r="AF19" s="19">
        <v>0</v>
      </c>
      <c r="AG19" s="19">
        <f>SUM('Inventory Variance'!$I:$I)</f>
        <v>-14739.194698340878</v>
      </c>
    </row>
    <row r="20" spans="1:33" x14ac:dyDescent="0.3">
      <c r="A20" s="28" t="s">
        <v>664</v>
      </c>
      <c r="B20" s="55">
        <f t="shared" ref="B20:AG20" si="5">B9-B15-B16-B17-B18-B19</f>
        <v>44310</v>
      </c>
      <c r="C20" s="55">
        <f t="shared" si="5"/>
        <v>44267.5</v>
      </c>
      <c r="D20" s="55">
        <f t="shared" si="5"/>
        <v>38742</v>
      </c>
      <c r="E20" s="55">
        <f t="shared" si="5"/>
        <v>-43615.828054298647</v>
      </c>
      <c r="F20" s="55">
        <f t="shared" si="5"/>
        <v>40666</v>
      </c>
      <c r="G20" s="55">
        <f t="shared" si="5"/>
        <v>47220</v>
      </c>
      <c r="H20" s="55">
        <f t="shared" si="5"/>
        <v>45310</v>
      </c>
      <c r="I20" s="55">
        <f t="shared" si="5"/>
        <v>0</v>
      </c>
      <c r="J20" s="55">
        <f t="shared" si="5"/>
        <v>0</v>
      </c>
      <c r="K20" s="55">
        <f t="shared" si="5"/>
        <v>0</v>
      </c>
      <c r="L20" s="55">
        <f t="shared" si="5"/>
        <v>0</v>
      </c>
      <c r="M20" s="55">
        <f t="shared" si="5"/>
        <v>0</v>
      </c>
      <c r="N20" s="55">
        <f t="shared" si="5"/>
        <v>0</v>
      </c>
      <c r="O20" s="55">
        <f t="shared" si="5"/>
        <v>0</v>
      </c>
      <c r="P20" s="55">
        <f t="shared" si="5"/>
        <v>0</v>
      </c>
      <c r="Q20" s="55">
        <f t="shared" si="5"/>
        <v>-20534.775263951735</v>
      </c>
      <c r="R20" s="55">
        <f t="shared" si="5"/>
        <v>0</v>
      </c>
      <c r="S20" s="55">
        <f t="shared" si="5"/>
        <v>0</v>
      </c>
      <c r="T20" s="55">
        <f t="shared" si="5"/>
        <v>0</v>
      </c>
      <c r="U20" s="55">
        <f t="shared" si="5"/>
        <v>0</v>
      </c>
      <c r="V20" s="55">
        <f t="shared" si="5"/>
        <v>0</v>
      </c>
      <c r="W20" s="55">
        <f t="shared" si="5"/>
        <v>0</v>
      </c>
      <c r="X20" s="55">
        <f t="shared" si="5"/>
        <v>0</v>
      </c>
      <c r="Y20" s="55">
        <f t="shared" si="5"/>
        <v>0</v>
      </c>
      <c r="Z20" s="55">
        <f t="shared" si="5"/>
        <v>0</v>
      </c>
      <c r="AA20" s="55">
        <f t="shared" si="5"/>
        <v>0</v>
      </c>
      <c r="AB20" s="55">
        <f t="shared" si="5"/>
        <v>0</v>
      </c>
      <c r="AC20" s="55">
        <f t="shared" si="5"/>
        <v>0</v>
      </c>
      <c r="AD20" s="55">
        <f t="shared" si="5"/>
        <v>0</v>
      </c>
      <c r="AE20" s="55">
        <f t="shared" si="5"/>
        <v>0</v>
      </c>
      <c r="AF20" s="55">
        <f t="shared" si="5"/>
        <v>0</v>
      </c>
      <c r="AG20" s="30">
        <f t="shared" si="5"/>
        <v>211104.09138009048</v>
      </c>
    </row>
    <row r="21" spans="1:33" x14ac:dyDescent="0.3">
      <c r="A21" s="16" t="s">
        <v>665</v>
      </c>
      <c r="B21" s="51">
        <f t="shared" ref="B21:AG21" si="6">IFERROR(B13/B4,0)</f>
        <v>0</v>
      </c>
      <c r="C21" s="51">
        <f t="shared" si="6"/>
        <v>0</v>
      </c>
      <c r="D21" s="51">
        <f t="shared" si="6"/>
        <v>0</v>
      </c>
      <c r="E21" s="51">
        <f t="shared" si="6"/>
        <v>1.754823673941321</v>
      </c>
      <c r="F21" s="51">
        <f t="shared" si="6"/>
        <v>0</v>
      </c>
      <c r="G21" s="51">
        <f t="shared" si="6"/>
        <v>0</v>
      </c>
      <c r="H21" s="51">
        <f t="shared" si="6"/>
        <v>0</v>
      </c>
      <c r="I21" s="51">
        <f t="shared" si="6"/>
        <v>0</v>
      </c>
      <c r="J21" s="51">
        <f t="shared" si="6"/>
        <v>0</v>
      </c>
      <c r="K21" s="51">
        <f t="shared" si="6"/>
        <v>0</v>
      </c>
      <c r="L21" s="51">
        <f t="shared" si="6"/>
        <v>0</v>
      </c>
      <c r="M21" s="51">
        <f t="shared" si="6"/>
        <v>0</v>
      </c>
      <c r="N21" s="51">
        <f t="shared" si="6"/>
        <v>0</v>
      </c>
      <c r="O21" s="51">
        <f t="shared" si="6"/>
        <v>0</v>
      </c>
      <c r="P21" s="51">
        <f t="shared" si="6"/>
        <v>0</v>
      </c>
      <c r="Q21" s="51">
        <f t="shared" si="6"/>
        <v>0</v>
      </c>
      <c r="R21" s="51">
        <f t="shared" si="6"/>
        <v>0</v>
      </c>
      <c r="S21" s="51">
        <f t="shared" si="6"/>
        <v>0</v>
      </c>
      <c r="T21" s="51">
        <f t="shared" si="6"/>
        <v>0</v>
      </c>
      <c r="U21" s="51">
        <f t="shared" si="6"/>
        <v>0</v>
      </c>
      <c r="V21" s="51">
        <f t="shared" si="6"/>
        <v>0</v>
      </c>
      <c r="W21" s="51">
        <f t="shared" si="6"/>
        <v>0</v>
      </c>
      <c r="X21" s="51">
        <f t="shared" si="6"/>
        <v>0</v>
      </c>
      <c r="Y21" s="51">
        <f t="shared" si="6"/>
        <v>0</v>
      </c>
      <c r="Z21" s="51">
        <f t="shared" si="6"/>
        <v>0</v>
      </c>
      <c r="AA21" s="51">
        <f t="shared" si="6"/>
        <v>0</v>
      </c>
      <c r="AB21" s="51">
        <f t="shared" si="6"/>
        <v>0</v>
      </c>
      <c r="AC21" s="51">
        <f t="shared" si="6"/>
        <v>0</v>
      </c>
      <c r="AD21" s="51">
        <f t="shared" si="6"/>
        <v>0</v>
      </c>
      <c r="AE21" s="51">
        <f t="shared" si="6"/>
        <v>0</v>
      </c>
      <c r="AF21" s="51">
        <f t="shared" si="6"/>
        <v>0</v>
      </c>
      <c r="AG21" s="51">
        <f t="shared" si="6"/>
        <v>0.33492513074666252</v>
      </c>
    </row>
    <row r="22" spans="1:33" x14ac:dyDescent="0.3">
      <c r="A22" s="16" t="s">
        <v>666</v>
      </c>
      <c r="B22" s="51">
        <f t="shared" ref="B22:AG22" si="7">IFERROR(B14/B5,0)</f>
        <v>0</v>
      </c>
      <c r="C22" s="51">
        <f t="shared" si="7"/>
        <v>0</v>
      </c>
      <c r="D22" s="51">
        <f t="shared" si="7"/>
        <v>0</v>
      </c>
      <c r="E22" s="51">
        <f t="shared" si="7"/>
        <v>2.6215587044534412</v>
      </c>
      <c r="F22" s="51">
        <f t="shared" si="7"/>
        <v>0</v>
      </c>
      <c r="G22" s="51">
        <f t="shared" si="7"/>
        <v>0</v>
      </c>
      <c r="H22" s="51">
        <f t="shared" si="7"/>
        <v>0</v>
      </c>
      <c r="I22" s="51">
        <f t="shared" si="7"/>
        <v>0</v>
      </c>
      <c r="J22" s="51">
        <f t="shared" si="7"/>
        <v>0</v>
      </c>
      <c r="K22" s="51">
        <f t="shared" si="7"/>
        <v>0</v>
      </c>
      <c r="L22" s="51">
        <f t="shared" si="7"/>
        <v>0</v>
      </c>
      <c r="M22" s="51">
        <f t="shared" si="7"/>
        <v>0</v>
      </c>
      <c r="N22" s="51">
        <f t="shared" si="7"/>
        <v>0</v>
      </c>
      <c r="O22" s="51">
        <f t="shared" si="7"/>
        <v>0</v>
      </c>
      <c r="P22" s="51">
        <f t="shared" si="7"/>
        <v>0</v>
      </c>
      <c r="Q22" s="51">
        <f t="shared" si="7"/>
        <v>0</v>
      </c>
      <c r="R22" s="51">
        <f t="shared" si="7"/>
        <v>0</v>
      </c>
      <c r="S22" s="51">
        <f t="shared" si="7"/>
        <v>0</v>
      </c>
      <c r="T22" s="51">
        <f t="shared" si="7"/>
        <v>0</v>
      </c>
      <c r="U22" s="51">
        <f t="shared" si="7"/>
        <v>0</v>
      </c>
      <c r="V22" s="51">
        <f t="shared" si="7"/>
        <v>0</v>
      </c>
      <c r="W22" s="51">
        <f t="shared" si="7"/>
        <v>0</v>
      </c>
      <c r="X22" s="51">
        <f t="shared" si="7"/>
        <v>0</v>
      </c>
      <c r="Y22" s="51">
        <f t="shared" si="7"/>
        <v>0</v>
      </c>
      <c r="Z22" s="51">
        <f t="shared" si="7"/>
        <v>0</v>
      </c>
      <c r="AA22" s="51">
        <f t="shared" si="7"/>
        <v>0</v>
      </c>
      <c r="AB22" s="51">
        <f t="shared" si="7"/>
        <v>0</v>
      </c>
      <c r="AC22" s="51">
        <f t="shared" si="7"/>
        <v>0</v>
      </c>
      <c r="AD22" s="51">
        <f t="shared" si="7"/>
        <v>0</v>
      </c>
      <c r="AE22" s="51">
        <f t="shared" si="7"/>
        <v>0</v>
      </c>
      <c r="AF22" s="51">
        <f t="shared" si="7"/>
        <v>0</v>
      </c>
      <c r="AG22" s="51">
        <f t="shared" si="7"/>
        <v>0.39571744301474032</v>
      </c>
    </row>
    <row r="23" spans="1:33" x14ac:dyDescent="0.3">
      <c r="A23" s="16" t="s">
        <v>667</v>
      </c>
      <c r="B23" s="51">
        <f t="shared" ref="B23:AG23" si="8">IFERROR(B15/B6,0)</f>
        <v>0</v>
      </c>
      <c r="C23" s="51">
        <f t="shared" si="8"/>
        <v>0</v>
      </c>
      <c r="D23" s="51">
        <f t="shared" si="8"/>
        <v>0</v>
      </c>
      <c r="E23" s="51">
        <f t="shared" si="8"/>
        <v>1.9795911750295416</v>
      </c>
      <c r="F23" s="51">
        <f t="shared" si="8"/>
        <v>0</v>
      </c>
      <c r="G23" s="51">
        <f t="shared" si="8"/>
        <v>0</v>
      </c>
      <c r="H23" s="51">
        <f t="shared" si="8"/>
        <v>0</v>
      </c>
      <c r="I23" s="51">
        <f t="shared" si="8"/>
        <v>0</v>
      </c>
      <c r="J23" s="51">
        <f t="shared" si="8"/>
        <v>0</v>
      </c>
      <c r="K23" s="51">
        <f t="shared" si="8"/>
        <v>0</v>
      </c>
      <c r="L23" s="51">
        <f t="shared" si="8"/>
        <v>0</v>
      </c>
      <c r="M23" s="51">
        <f t="shared" si="8"/>
        <v>0</v>
      </c>
      <c r="N23" s="51">
        <f t="shared" si="8"/>
        <v>0</v>
      </c>
      <c r="O23" s="51">
        <f t="shared" si="8"/>
        <v>0</v>
      </c>
      <c r="P23" s="51">
        <f t="shared" si="8"/>
        <v>0</v>
      </c>
      <c r="Q23" s="51">
        <f t="shared" si="8"/>
        <v>0</v>
      </c>
      <c r="R23" s="51">
        <f t="shared" si="8"/>
        <v>0</v>
      </c>
      <c r="S23" s="51">
        <f t="shared" si="8"/>
        <v>0</v>
      </c>
      <c r="T23" s="51">
        <f t="shared" si="8"/>
        <v>0</v>
      </c>
      <c r="U23" s="51">
        <f t="shared" si="8"/>
        <v>0</v>
      </c>
      <c r="V23" s="51">
        <f t="shared" si="8"/>
        <v>0</v>
      </c>
      <c r="W23" s="51">
        <f t="shared" si="8"/>
        <v>0</v>
      </c>
      <c r="X23" s="51">
        <f t="shared" si="8"/>
        <v>0</v>
      </c>
      <c r="Y23" s="51">
        <f t="shared" si="8"/>
        <v>0</v>
      </c>
      <c r="Z23" s="51">
        <f t="shared" si="8"/>
        <v>0</v>
      </c>
      <c r="AA23" s="51">
        <f t="shared" si="8"/>
        <v>0</v>
      </c>
      <c r="AB23" s="51">
        <f t="shared" si="8"/>
        <v>0</v>
      </c>
      <c r="AC23" s="51">
        <f t="shared" si="8"/>
        <v>0</v>
      </c>
      <c r="AD23" s="51">
        <f t="shared" si="8"/>
        <v>0</v>
      </c>
      <c r="AE23" s="51">
        <f t="shared" si="8"/>
        <v>0</v>
      </c>
      <c r="AF23" s="51">
        <f t="shared" si="8"/>
        <v>0</v>
      </c>
      <c r="AG23" s="51">
        <f t="shared" si="8"/>
        <v>0.35123143819433233</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7B34"/>
  </sheetPr>
  <dimension ref="A1:N29"/>
  <sheetViews>
    <sheetView showGridLines="0" zoomScaleNormal="100" workbookViewId="0">
      <pane ySplit="3" topLeftCell="A4" activePane="bottomLeft" state="frozen"/>
      <selection pane="bottomLeft"/>
    </sheetView>
  </sheetViews>
  <sheetFormatPr defaultColWidth="8.6640625" defaultRowHeight="14.4" x14ac:dyDescent="0.3"/>
  <cols>
    <col min="1" max="1" width="11" customWidth="1"/>
    <col min="2" max="2" width="26" customWidth="1"/>
    <col min="3" max="3" width="11" customWidth="1"/>
    <col min="4" max="4" width="13" customWidth="1"/>
    <col min="5" max="6" width="12" customWidth="1"/>
    <col min="7" max="7" width="10" customWidth="1"/>
    <col min="8" max="8" width="15" customWidth="1"/>
    <col min="9" max="9" width="11" customWidth="1"/>
    <col min="10" max="10" width="13" customWidth="1"/>
    <col min="11" max="11" width="30" customWidth="1"/>
    <col min="12" max="12" width="15" customWidth="1"/>
    <col min="13" max="13" width="10" customWidth="1"/>
    <col min="14" max="14" width="12" customWidth="1"/>
  </cols>
  <sheetData>
    <row r="1" spans="1:14" ht="25.5" customHeight="1" x14ac:dyDescent="0.3">
      <c r="A1" s="14" t="s">
        <v>668</v>
      </c>
      <c r="B1" s="14"/>
      <c r="C1" s="14"/>
      <c r="D1" s="14"/>
      <c r="E1" s="14"/>
      <c r="F1" s="14"/>
      <c r="G1" s="14"/>
      <c r="H1" s="14"/>
      <c r="I1" s="14"/>
      <c r="J1" s="14"/>
      <c r="K1" s="14"/>
    </row>
    <row r="2" spans="1:14" x14ac:dyDescent="0.3">
      <c r="A2" s="13" t="s">
        <v>669</v>
      </c>
      <c r="B2" s="13"/>
      <c r="C2" s="13"/>
      <c r="D2" s="13"/>
      <c r="E2" s="13"/>
      <c r="F2" s="13"/>
      <c r="G2" s="13"/>
      <c r="H2" s="13"/>
      <c r="I2" s="13"/>
      <c r="J2" s="13"/>
      <c r="K2" s="13"/>
    </row>
    <row r="3" spans="1:14" ht="30" customHeight="1" x14ac:dyDescent="0.3">
      <c r="A3" s="15" t="s">
        <v>191</v>
      </c>
      <c r="B3" s="15" t="s">
        <v>192</v>
      </c>
      <c r="C3" s="15" t="s">
        <v>95</v>
      </c>
      <c r="D3" s="15" t="s">
        <v>670</v>
      </c>
      <c r="E3" s="15" t="s">
        <v>622</v>
      </c>
      <c r="F3" s="15" t="s">
        <v>623</v>
      </c>
      <c r="G3" s="15" t="s">
        <v>10</v>
      </c>
      <c r="H3" s="15" t="s">
        <v>671</v>
      </c>
      <c r="I3" s="15" t="s">
        <v>672</v>
      </c>
      <c r="J3" s="15" t="s">
        <v>673</v>
      </c>
      <c r="K3" s="15" t="s">
        <v>674</v>
      </c>
      <c r="L3" s="15" t="s">
        <v>675</v>
      </c>
      <c r="M3" s="15" t="s">
        <v>676</v>
      </c>
      <c r="N3" s="15" t="s">
        <v>677</v>
      </c>
    </row>
    <row r="4" spans="1:14" x14ac:dyDescent="0.3">
      <c r="A4" s="49" t="str">
        <f>'Menu Master'!A6</f>
        <v>FM001</v>
      </c>
      <c r="B4" s="49" t="str">
        <f>'Menu Master'!B6</f>
        <v>Classic Beef Burger</v>
      </c>
      <c r="C4" s="49" t="str">
        <f>'Menu Master'!C6</f>
        <v>Food</v>
      </c>
      <c r="D4" s="26">
        <f>'Daily Sales'!AK5</f>
        <v>91</v>
      </c>
      <c r="E4" s="25">
        <f>'Daily Sales'!D5</f>
        <v>320</v>
      </c>
      <c r="F4" s="25">
        <f>'Daily Sales'!E5</f>
        <v>106.15</v>
      </c>
      <c r="G4" s="51">
        <f t="shared" ref="G4:G29" si="0">IFERROR(F4/E4,0)</f>
        <v>0.33171875000000001</v>
      </c>
      <c r="H4" s="19">
        <f t="shared" ref="H4:H29" si="1">E4-F4</f>
        <v>213.85</v>
      </c>
      <c r="I4" s="56" t="str">
        <f t="shared" ref="I4:I29" si="2">IF(D4&gt;=AVERAGE($D$4:$D$29),"High","Low")</f>
        <v>High</v>
      </c>
      <c r="J4" s="39" t="str">
        <f t="shared" ref="J4:J29" si="3">IF(AND(H4&gt;=AVERAGE($H$4:$H$29),I4="High"),"STAR",IF(AND(H4&lt;AVERAGE($H$4:$H$29),I4="High"),"PLOWHORSE",IF(AND(H4&gt;=AVERAGE($H$4:$H$29),I4="Low"),"PUZZLE","DOG")))</f>
        <v>STAR</v>
      </c>
      <c r="K4" s="57" t="str">
        <f t="shared" ref="K4:K29" si="4">IF(J4="STAR","Promote &amp; protect quality — your best performer",IF(J4="PLOWHORSE","Popular but low margin — consider a small price increase or cheaper plating",IF(J4="PUZZLE","Profitable but under-ordered — reposition on the menu or upsell it","Re-engineer, reprice or remove")))</f>
        <v>Promote &amp; protect quality — your best performer</v>
      </c>
      <c r="L4" s="19">
        <f t="shared" ref="L4:L29" si="5">D4*E4</f>
        <v>29120</v>
      </c>
      <c r="M4" s="16">
        <f t="shared" ref="M4:M29" si="6">RANK(D4,$D$4:$D$29,0)</f>
        <v>4</v>
      </c>
      <c r="N4" s="16">
        <f t="shared" ref="N4:N29" si="7">RANK(L4,$L$4:$L$29,0)</f>
        <v>2</v>
      </c>
    </row>
    <row r="5" spans="1:14" x14ac:dyDescent="0.3">
      <c r="A5" s="49" t="str">
        <f>'Menu Master'!A7</f>
        <v>FM002</v>
      </c>
      <c r="B5" s="49" t="str">
        <f>'Menu Master'!B7</f>
        <v>Double Beef Burger</v>
      </c>
      <c r="C5" s="49" t="str">
        <f>'Menu Master'!C7</f>
        <v>Food</v>
      </c>
      <c r="D5" s="26">
        <f>'Daily Sales'!AK6</f>
        <v>41</v>
      </c>
      <c r="E5" s="25">
        <f>'Daily Sales'!D6</f>
        <v>420</v>
      </c>
      <c r="F5" s="25">
        <f>'Daily Sales'!E6</f>
        <v>200.65</v>
      </c>
      <c r="G5" s="51">
        <f t="shared" si="0"/>
        <v>0.47773809523809524</v>
      </c>
      <c r="H5" s="19">
        <f t="shared" si="1"/>
        <v>219.35</v>
      </c>
      <c r="I5" s="56" t="str">
        <f t="shared" si="2"/>
        <v>Low</v>
      </c>
      <c r="J5" s="39" t="str">
        <f t="shared" si="3"/>
        <v>PUZZLE</v>
      </c>
      <c r="K5" s="57" t="str">
        <f t="shared" si="4"/>
        <v>Profitable but under-ordered — reposition on the menu or upsell it</v>
      </c>
      <c r="L5" s="19">
        <f t="shared" si="5"/>
        <v>17220</v>
      </c>
      <c r="M5" s="16">
        <f t="shared" si="6"/>
        <v>20</v>
      </c>
      <c r="N5" s="16">
        <f t="shared" si="7"/>
        <v>5</v>
      </c>
    </row>
    <row r="6" spans="1:14" x14ac:dyDescent="0.3">
      <c r="A6" s="49" t="str">
        <f>'Menu Master'!A9</f>
        <v>FM003</v>
      </c>
      <c r="B6" s="49" t="str">
        <f>'Menu Master'!B9</f>
        <v>Chicken Caesar Wrap</v>
      </c>
      <c r="C6" s="49" t="str">
        <f>'Menu Master'!C9</f>
        <v>Food</v>
      </c>
      <c r="D6" s="26">
        <f>'Daily Sales'!AK7</f>
        <v>51</v>
      </c>
      <c r="E6" s="25">
        <f>'Daily Sales'!D7</f>
        <v>280</v>
      </c>
      <c r="F6" s="25">
        <f>'Daily Sales'!E7</f>
        <v>107.39999999999999</v>
      </c>
      <c r="G6" s="51">
        <f t="shared" si="0"/>
        <v>0.38357142857142856</v>
      </c>
      <c r="H6" s="19">
        <f t="shared" si="1"/>
        <v>172.60000000000002</v>
      </c>
      <c r="I6" s="56" t="str">
        <f t="shared" si="2"/>
        <v>Low</v>
      </c>
      <c r="J6" s="39" t="str">
        <f t="shared" si="3"/>
        <v>PUZZLE</v>
      </c>
      <c r="K6" s="57" t="str">
        <f t="shared" si="4"/>
        <v>Profitable but under-ordered — reposition on the menu or upsell it</v>
      </c>
      <c r="L6" s="19">
        <f t="shared" si="5"/>
        <v>14280</v>
      </c>
      <c r="M6" s="16">
        <f t="shared" si="6"/>
        <v>15</v>
      </c>
      <c r="N6" s="16">
        <f t="shared" si="7"/>
        <v>9</v>
      </c>
    </row>
    <row r="7" spans="1:14" x14ac:dyDescent="0.3">
      <c r="A7" s="49" t="str">
        <f>'Menu Master'!A10</f>
        <v>FM004</v>
      </c>
      <c r="B7" s="49" t="str">
        <f>'Menu Master'!B10</f>
        <v>Crispy Chicken Wrap</v>
      </c>
      <c r="C7" s="49" t="str">
        <f>'Menu Master'!C10</f>
        <v>Food</v>
      </c>
      <c r="D7" s="26">
        <f>'Daily Sales'!AK8</f>
        <v>58</v>
      </c>
      <c r="E7" s="25">
        <f>'Daily Sales'!D8</f>
        <v>260</v>
      </c>
      <c r="F7" s="25">
        <f>'Daily Sales'!E8</f>
        <v>103.69999999999999</v>
      </c>
      <c r="G7" s="51">
        <f t="shared" si="0"/>
        <v>0.39884615384615379</v>
      </c>
      <c r="H7" s="19">
        <f t="shared" si="1"/>
        <v>156.30000000000001</v>
      </c>
      <c r="I7" s="56" t="str">
        <f t="shared" si="2"/>
        <v>Low</v>
      </c>
      <c r="J7" s="39" t="str">
        <f t="shared" si="3"/>
        <v>PUZZLE</v>
      </c>
      <c r="K7" s="57" t="str">
        <f t="shared" si="4"/>
        <v>Profitable but under-ordered — reposition on the menu or upsell it</v>
      </c>
      <c r="L7" s="19">
        <f t="shared" si="5"/>
        <v>15080</v>
      </c>
      <c r="M7" s="16">
        <f t="shared" si="6"/>
        <v>11</v>
      </c>
      <c r="N7" s="16">
        <f t="shared" si="7"/>
        <v>7</v>
      </c>
    </row>
    <row r="8" spans="1:14" x14ac:dyDescent="0.3">
      <c r="A8" s="49" t="str">
        <f>'Menu Master'!A12</f>
        <v>FM005</v>
      </c>
      <c r="B8" s="49" t="str">
        <f>'Menu Master'!B12</f>
        <v>Club Sandwich</v>
      </c>
      <c r="C8" s="49" t="str">
        <f>'Menu Master'!C12</f>
        <v>Food</v>
      </c>
      <c r="D8" s="26">
        <f>'Daily Sales'!AK9</f>
        <v>50</v>
      </c>
      <c r="E8" s="25">
        <f>'Daily Sales'!D9</f>
        <v>300</v>
      </c>
      <c r="F8" s="25">
        <f>'Daily Sales'!E9</f>
        <v>99.750000000000014</v>
      </c>
      <c r="G8" s="51">
        <f t="shared" si="0"/>
        <v>0.33250000000000007</v>
      </c>
      <c r="H8" s="19">
        <f t="shared" si="1"/>
        <v>200.25</v>
      </c>
      <c r="I8" s="56" t="str">
        <f t="shared" si="2"/>
        <v>Low</v>
      </c>
      <c r="J8" s="39" t="str">
        <f t="shared" si="3"/>
        <v>PUZZLE</v>
      </c>
      <c r="K8" s="57" t="str">
        <f t="shared" si="4"/>
        <v>Profitable but under-ordered — reposition on the menu or upsell it</v>
      </c>
      <c r="L8" s="19">
        <f t="shared" si="5"/>
        <v>15000</v>
      </c>
      <c r="M8" s="16">
        <f t="shared" si="6"/>
        <v>17</v>
      </c>
      <c r="N8" s="16">
        <f t="shared" si="7"/>
        <v>8</v>
      </c>
    </row>
    <row r="9" spans="1:14" x14ac:dyDescent="0.3">
      <c r="A9" s="49" t="str">
        <f>'Menu Master'!A13</f>
        <v>FM006</v>
      </c>
      <c r="B9" s="49" t="str">
        <f>'Menu Master'!B13</f>
        <v>Chicken Sandwich</v>
      </c>
      <c r="C9" s="49" t="str">
        <f>'Menu Master'!C13</f>
        <v>Food</v>
      </c>
      <c r="D9" s="26">
        <f>'Daily Sales'!AK10</f>
        <v>51</v>
      </c>
      <c r="E9" s="25">
        <f>'Daily Sales'!D10</f>
        <v>240</v>
      </c>
      <c r="F9" s="25">
        <f>'Daily Sales'!E10</f>
        <v>64.3</v>
      </c>
      <c r="G9" s="51">
        <f t="shared" si="0"/>
        <v>0.26791666666666664</v>
      </c>
      <c r="H9" s="19">
        <f t="shared" si="1"/>
        <v>175.7</v>
      </c>
      <c r="I9" s="56" t="str">
        <f t="shared" si="2"/>
        <v>Low</v>
      </c>
      <c r="J9" s="39" t="str">
        <f t="shared" si="3"/>
        <v>PUZZLE</v>
      </c>
      <c r="K9" s="57" t="str">
        <f t="shared" si="4"/>
        <v>Profitable but under-ordered — reposition on the menu or upsell it</v>
      </c>
      <c r="L9" s="19">
        <f t="shared" si="5"/>
        <v>12240</v>
      </c>
      <c r="M9" s="16">
        <f t="shared" si="6"/>
        <v>15</v>
      </c>
      <c r="N9" s="16">
        <f t="shared" si="7"/>
        <v>12</v>
      </c>
    </row>
    <row r="10" spans="1:14" x14ac:dyDescent="0.3">
      <c r="A10" s="49" t="str">
        <f>'Menu Master'!A15</f>
        <v>FM007</v>
      </c>
      <c r="B10" s="49" t="str">
        <f>'Menu Master'!B15</f>
        <v>Spaghetti Bolognese</v>
      </c>
      <c r="C10" s="49" t="str">
        <f>'Menu Master'!C15</f>
        <v>Food</v>
      </c>
      <c r="D10" s="26">
        <f>'Daily Sales'!AK11</f>
        <v>66</v>
      </c>
      <c r="E10" s="25">
        <f>'Daily Sales'!D11</f>
        <v>350</v>
      </c>
      <c r="F10" s="25">
        <f>'Daily Sales'!E11</f>
        <v>36.4</v>
      </c>
      <c r="G10" s="51">
        <f t="shared" si="0"/>
        <v>0.104</v>
      </c>
      <c r="H10" s="19">
        <f t="shared" si="1"/>
        <v>313.60000000000002</v>
      </c>
      <c r="I10" s="56" t="str">
        <f t="shared" si="2"/>
        <v>High</v>
      </c>
      <c r="J10" s="39" t="str">
        <f t="shared" si="3"/>
        <v>STAR</v>
      </c>
      <c r="K10" s="57" t="str">
        <f t="shared" si="4"/>
        <v>Promote &amp; protect quality — your best performer</v>
      </c>
      <c r="L10" s="19">
        <f t="shared" si="5"/>
        <v>23100</v>
      </c>
      <c r="M10" s="16">
        <f t="shared" si="6"/>
        <v>8</v>
      </c>
      <c r="N10" s="16">
        <f t="shared" si="7"/>
        <v>3</v>
      </c>
    </row>
    <row r="11" spans="1:14" x14ac:dyDescent="0.3">
      <c r="A11" s="49" t="str">
        <f>'Menu Master'!A16</f>
        <v>FM008</v>
      </c>
      <c r="B11" s="49" t="str">
        <f>'Menu Master'!B16</f>
        <v>Spaghetti Alfredo</v>
      </c>
      <c r="C11" s="49" t="str">
        <f>'Menu Master'!C16</f>
        <v>Food</v>
      </c>
      <c r="D11" s="26">
        <f>'Daily Sales'!AK12</f>
        <v>48</v>
      </c>
      <c r="E11" s="25">
        <f>'Daily Sales'!D12</f>
        <v>330</v>
      </c>
      <c r="F11" s="25">
        <f>'Daily Sales'!E12</f>
        <v>62.4</v>
      </c>
      <c r="G11" s="51">
        <f t="shared" si="0"/>
        <v>0.18909090909090909</v>
      </c>
      <c r="H11" s="19">
        <f t="shared" si="1"/>
        <v>267.60000000000002</v>
      </c>
      <c r="I11" s="56" t="str">
        <f t="shared" si="2"/>
        <v>Low</v>
      </c>
      <c r="J11" s="39" t="str">
        <f t="shared" si="3"/>
        <v>PUZZLE</v>
      </c>
      <c r="K11" s="57" t="str">
        <f t="shared" si="4"/>
        <v>Profitable but under-ordered — reposition on the menu or upsell it</v>
      </c>
      <c r="L11" s="19">
        <f t="shared" si="5"/>
        <v>15840</v>
      </c>
      <c r="M11" s="16">
        <f t="shared" si="6"/>
        <v>18</v>
      </c>
      <c r="N11" s="16">
        <f t="shared" si="7"/>
        <v>6</v>
      </c>
    </row>
    <row r="12" spans="1:14" x14ac:dyDescent="0.3">
      <c r="A12" s="49" t="str">
        <f>'Menu Master'!A18</f>
        <v>FM009</v>
      </c>
      <c r="B12" s="49" t="str">
        <f>'Menu Master'!B18</f>
        <v>American Breakfast</v>
      </c>
      <c r="C12" s="49" t="str">
        <f>'Menu Master'!C18</f>
        <v>Food</v>
      </c>
      <c r="D12" s="26">
        <f>'Daily Sales'!AK13</f>
        <v>38</v>
      </c>
      <c r="E12" s="25">
        <f>'Daily Sales'!D13</f>
        <v>280</v>
      </c>
      <c r="F12" s="25">
        <f>'Daily Sales'!E13</f>
        <v>74.599999999999994</v>
      </c>
      <c r="G12" s="51">
        <f t="shared" si="0"/>
        <v>0.2664285714285714</v>
      </c>
      <c r="H12" s="19">
        <f t="shared" si="1"/>
        <v>205.4</v>
      </c>
      <c r="I12" s="56" t="str">
        <f t="shared" si="2"/>
        <v>Low</v>
      </c>
      <c r="J12" s="39" t="str">
        <f t="shared" si="3"/>
        <v>PUZZLE</v>
      </c>
      <c r="K12" s="57" t="str">
        <f t="shared" si="4"/>
        <v>Profitable but under-ordered — reposition on the menu or upsell it</v>
      </c>
      <c r="L12" s="19">
        <f t="shared" si="5"/>
        <v>10640</v>
      </c>
      <c r="M12" s="16">
        <f t="shared" si="6"/>
        <v>22</v>
      </c>
      <c r="N12" s="16">
        <f t="shared" si="7"/>
        <v>15</v>
      </c>
    </row>
    <row r="13" spans="1:14" x14ac:dyDescent="0.3">
      <c r="A13" s="49" t="str">
        <f>'Menu Master'!A19</f>
        <v>FM010</v>
      </c>
      <c r="B13" s="49" t="str">
        <f>'Menu Master'!B19</f>
        <v>Continental Breakfast</v>
      </c>
      <c r="C13" s="49" t="str">
        <f>'Menu Master'!C19</f>
        <v>Food</v>
      </c>
      <c r="D13" s="26">
        <f>'Daily Sales'!AK14</f>
        <v>27</v>
      </c>
      <c r="E13" s="25">
        <f>'Daily Sales'!D14</f>
        <v>260</v>
      </c>
      <c r="F13" s="25">
        <f>'Daily Sales'!E14</f>
        <v>16.8</v>
      </c>
      <c r="G13" s="51">
        <f t="shared" si="0"/>
        <v>6.4615384615384616E-2</v>
      </c>
      <c r="H13" s="19">
        <f t="shared" si="1"/>
        <v>243.2</v>
      </c>
      <c r="I13" s="56" t="str">
        <f t="shared" si="2"/>
        <v>Low</v>
      </c>
      <c r="J13" s="39" t="str">
        <f t="shared" si="3"/>
        <v>PUZZLE</v>
      </c>
      <c r="K13" s="57" t="str">
        <f t="shared" si="4"/>
        <v>Profitable but under-ordered — reposition on the menu or upsell it</v>
      </c>
      <c r="L13" s="19">
        <f t="shared" si="5"/>
        <v>7020</v>
      </c>
      <c r="M13" s="16">
        <f t="shared" si="6"/>
        <v>25</v>
      </c>
      <c r="N13" s="16">
        <f t="shared" si="7"/>
        <v>19</v>
      </c>
    </row>
    <row r="14" spans="1:14" x14ac:dyDescent="0.3">
      <c r="A14" s="49" t="str">
        <f>'Menu Master'!A21</f>
        <v>FM011</v>
      </c>
      <c r="B14" s="49" t="str">
        <f>'Menu Master'!B21</f>
        <v>Butter Croissant</v>
      </c>
      <c r="C14" s="49" t="str">
        <f>'Menu Master'!C21</f>
        <v>Food</v>
      </c>
      <c r="D14" s="26">
        <f>'Daily Sales'!AK15</f>
        <v>85</v>
      </c>
      <c r="E14" s="25">
        <f>'Daily Sales'!D15</f>
        <v>110</v>
      </c>
      <c r="F14" s="25">
        <f>'Daily Sales'!E15</f>
        <v>9.6</v>
      </c>
      <c r="G14" s="51">
        <f t="shared" si="0"/>
        <v>8.7272727272727266E-2</v>
      </c>
      <c r="H14" s="19">
        <f t="shared" si="1"/>
        <v>100.4</v>
      </c>
      <c r="I14" s="56" t="str">
        <f t="shared" si="2"/>
        <v>High</v>
      </c>
      <c r="J14" s="39" t="str">
        <f t="shared" si="3"/>
        <v>PLOWHORSE</v>
      </c>
      <c r="K14" s="57" t="str">
        <f t="shared" si="4"/>
        <v>Popular but low margin — consider a small price increase or cheaper plating</v>
      </c>
      <c r="L14" s="19">
        <f t="shared" si="5"/>
        <v>9350</v>
      </c>
      <c r="M14" s="16">
        <f t="shared" si="6"/>
        <v>5</v>
      </c>
      <c r="N14" s="16">
        <f t="shared" si="7"/>
        <v>16</v>
      </c>
    </row>
    <row r="15" spans="1:14" x14ac:dyDescent="0.3">
      <c r="A15" s="49" t="str">
        <f>'Menu Master'!A22</f>
        <v>FM012</v>
      </c>
      <c r="B15" s="49" t="str">
        <f>'Menu Master'!B22</f>
        <v>Danish Pastry</v>
      </c>
      <c r="C15" s="49" t="str">
        <f>'Menu Master'!C22</f>
        <v>Food</v>
      </c>
      <c r="D15" s="26">
        <f>'Daily Sales'!AK16</f>
        <v>62</v>
      </c>
      <c r="E15" s="25">
        <f>'Daily Sales'!D16</f>
        <v>120</v>
      </c>
      <c r="F15" s="25">
        <f>'Daily Sales'!E16</f>
        <v>4.8</v>
      </c>
      <c r="G15" s="51">
        <f t="shared" si="0"/>
        <v>0.04</v>
      </c>
      <c r="H15" s="19">
        <f t="shared" si="1"/>
        <v>115.2</v>
      </c>
      <c r="I15" s="56" t="str">
        <f t="shared" si="2"/>
        <v>High</v>
      </c>
      <c r="J15" s="39" t="str">
        <f t="shared" si="3"/>
        <v>PLOWHORSE</v>
      </c>
      <c r="K15" s="57" t="str">
        <f t="shared" si="4"/>
        <v>Popular but low margin — consider a small price increase or cheaper plating</v>
      </c>
      <c r="L15" s="19">
        <f t="shared" si="5"/>
        <v>7440</v>
      </c>
      <c r="M15" s="16">
        <f t="shared" si="6"/>
        <v>9</v>
      </c>
      <c r="N15" s="16">
        <f t="shared" si="7"/>
        <v>17</v>
      </c>
    </row>
    <row r="16" spans="1:14" x14ac:dyDescent="0.3">
      <c r="A16" s="49" t="str">
        <f>'Menu Master'!A24</f>
        <v>FM013</v>
      </c>
      <c r="B16" s="49" t="str">
        <f>'Menu Master'!B24</f>
        <v>Chicken Caesar Salad</v>
      </c>
      <c r="C16" s="49" t="str">
        <f>'Menu Master'!C24</f>
        <v>Food</v>
      </c>
      <c r="D16" s="26">
        <f>'Daily Sales'!AK17</f>
        <v>41</v>
      </c>
      <c r="E16" s="25">
        <f>'Daily Sales'!D17</f>
        <v>260</v>
      </c>
      <c r="F16" s="25">
        <f>'Daily Sales'!E17</f>
        <v>76</v>
      </c>
      <c r="G16" s="51">
        <f t="shared" si="0"/>
        <v>0.29230769230769232</v>
      </c>
      <c r="H16" s="19">
        <f t="shared" si="1"/>
        <v>184</v>
      </c>
      <c r="I16" s="56" t="str">
        <f t="shared" si="2"/>
        <v>Low</v>
      </c>
      <c r="J16" s="39" t="str">
        <f t="shared" si="3"/>
        <v>PUZZLE</v>
      </c>
      <c r="K16" s="57" t="str">
        <f t="shared" si="4"/>
        <v>Profitable but under-ordered — reposition on the menu or upsell it</v>
      </c>
      <c r="L16" s="19">
        <f t="shared" si="5"/>
        <v>10660</v>
      </c>
      <c r="M16" s="16">
        <f t="shared" si="6"/>
        <v>20</v>
      </c>
      <c r="N16" s="16">
        <f t="shared" si="7"/>
        <v>14</v>
      </c>
    </row>
    <row r="17" spans="1:14" x14ac:dyDescent="0.3">
      <c r="A17" s="49" t="str">
        <f>'Menu Master'!A25</f>
        <v>FM014</v>
      </c>
      <c r="B17" s="49" t="str">
        <f>'Menu Master'!B25</f>
        <v>Avocado Salad</v>
      </c>
      <c r="C17" s="49" t="str">
        <f>'Menu Master'!C25</f>
        <v>Food</v>
      </c>
      <c r="D17" s="26">
        <f>'Daily Sales'!AK18</f>
        <v>33</v>
      </c>
      <c r="E17" s="25">
        <f>'Daily Sales'!D18</f>
        <v>180</v>
      </c>
      <c r="F17" s="25">
        <f>'Daily Sales'!E18</f>
        <v>26.05</v>
      </c>
      <c r="G17" s="51">
        <f t="shared" si="0"/>
        <v>0.14472222222222222</v>
      </c>
      <c r="H17" s="19">
        <f t="shared" si="1"/>
        <v>153.94999999999999</v>
      </c>
      <c r="I17" s="56" t="str">
        <f t="shared" si="2"/>
        <v>Low</v>
      </c>
      <c r="J17" s="39" t="str">
        <f t="shared" si="3"/>
        <v>PUZZLE</v>
      </c>
      <c r="K17" s="57" t="str">
        <f t="shared" si="4"/>
        <v>Profitable but under-ordered — reposition on the menu or upsell it</v>
      </c>
      <c r="L17" s="19">
        <f t="shared" si="5"/>
        <v>5940</v>
      </c>
      <c r="M17" s="16">
        <f t="shared" si="6"/>
        <v>23</v>
      </c>
      <c r="N17" s="16">
        <f t="shared" si="7"/>
        <v>21</v>
      </c>
    </row>
    <row r="18" spans="1:14" x14ac:dyDescent="0.3">
      <c r="A18" s="49" t="str">
        <f>'Menu Master'!A27</f>
        <v>FM015</v>
      </c>
      <c r="B18" s="49" t="str">
        <f>'Menu Master'!B27</f>
        <v>Margherita Pizza</v>
      </c>
      <c r="C18" s="49" t="str">
        <f>'Menu Master'!C27</f>
        <v>Food</v>
      </c>
      <c r="D18" s="26">
        <f>'Daily Sales'!AK19</f>
        <v>82</v>
      </c>
      <c r="E18" s="25">
        <f>'Daily Sales'!D19</f>
        <v>380</v>
      </c>
      <c r="F18" s="25">
        <f>'Daily Sales'!E19</f>
        <v>93</v>
      </c>
      <c r="G18" s="51">
        <f t="shared" si="0"/>
        <v>0.24473684210526317</v>
      </c>
      <c r="H18" s="19">
        <f t="shared" si="1"/>
        <v>287</v>
      </c>
      <c r="I18" s="56" t="str">
        <f t="shared" si="2"/>
        <v>High</v>
      </c>
      <c r="J18" s="39" t="str">
        <f t="shared" si="3"/>
        <v>STAR</v>
      </c>
      <c r="K18" s="57" t="str">
        <f t="shared" si="4"/>
        <v>Promote &amp; protect quality — your best performer</v>
      </c>
      <c r="L18" s="19">
        <f t="shared" si="5"/>
        <v>31160</v>
      </c>
      <c r="M18" s="16">
        <f t="shared" si="6"/>
        <v>6</v>
      </c>
      <c r="N18" s="16">
        <f t="shared" si="7"/>
        <v>1</v>
      </c>
    </row>
    <row r="19" spans="1:14" x14ac:dyDescent="0.3">
      <c r="A19" s="49" t="str">
        <f>'Menu Master'!A30</f>
        <v>BM001</v>
      </c>
      <c r="B19" s="49" t="str">
        <f>'Menu Master'!B30</f>
        <v>Americano</v>
      </c>
      <c r="C19" s="49" t="str">
        <f>'Menu Master'!C30</f>
        <v>Beverage</v>
      </c>
      <c r="D19" s="26">
        <f>'Daily Sales'!AK20</f>
        <v>137</v>
      </c>
      <c r="E19" s="25">
        <f>'Daily Sales'!D20</f>
        <v>90</v>
      </c>
      <c r="F19" s="25">
        <f>'Daily Sales'!E20</f>
        <v>16.2</v>
      </c>
      <c r="G19" s="51">
        <f t="shared" si="0"/>
        <v>0.18</v>
      </c>
      <c r="H19" s="19">
        <f t="shared" si="1"/>
        <v>73.8</v>
      </c>
      <c r="I19" s="56" t="str">
        <f t="shared" si="2"/>
        <v>High</v>
      </c>
      <c r="J19" s="39" t="str">
        <f t="shared" si="3"/>
        <v>PLOWHORSE</v>
      </c>
      <c r="K19" s="57" t="str">
        <f t="shared" si="4"/>
        <v>Popular but low margin — consider a small price increase or cheaper plating</v>
      </c>
      <c r="L19" s="19">
        <f t="shared" si="5"/>
        <v>12330</v>
      </c>
      <c r="M19" s="16">
        <f t="shared" si="6"/>
        <v>2</v>
      </c>
      <c r="N19" s="16">
        <f t="shared" si="7"/>
        <v>11</v>
      </c>
    </row>
    <row r="20" spans="1:14" x14ac:dyDescent="0.3">
      <c r="A20" s="49" t="str">
        <f>'Menu Master'!A31</f>
        <v>BM002</v>
      </c>
      <c r="B20" s="49" t="str">
        <f>'Menu Master'!B31</f>
        <v>Cappuccino</v>
      </c>
      <c r="C20" s="49" t="str">
        <f>'Menu Master'!C31</f>
        <v>Beverage</v>
      </c>
      <c r="D20" s="26">
        <f>'Daily Sales'!AK21</f>
        <v>157</v>
      </c>
      <c r="E20" s="25">
        <f>'Daily Sales'!D21</f>
        <v>110</v>
      </c>
      <c r="F20" s="25">
        <f>'Daily Sales'!E21</f>
        <v>25.95</v>
      </c>
      <c r="G20" s="51">
        <f t="shared" si="0"/>
        <v>0.2359090909090909</v>
      </c>
      <c r="H20" s="19">
        <f t="shared" si="1"/>
        <v>84.05</v>
      </c>
      <c r="I20" s="56" t="str">
        <f t="shared" si="2"/>
        <v>High</v>
      </c>
      <c r="J20" s="39" t="str">
        <f t="shared" si="3"/>
        <v>PLOWHORSE</v>
      </c>
      <c r="K20" s="57" t="str">
        <f t="shared" si="4"/>
        <v>Popular but low margin — consider a small price increase or cheaper plating</v>
      </c>
      <c r="L20" s="19">
        <f t="shared" si="5"/>
        <v>17270</v>
      </c>
      <c r="M20" s="16">
        <f t="shared" si="6"/>
        <v>1</v>
      </c>
      <c r="N20" s="16">
        <f t="shared" si="7"/>
        <v>4</v>
      </c>
    </row>
    <row r="21" spans="1:14" x14ac:dyDescent="0.3">
      <c r="A21" s="49" t="str">
        <f>'Menu Master'!A33</f>
        <v>BM003</v>
      </c>
      <c r="B21" s="49" t="str">
        <f>'Menu Master'!B33</f>
        <v>English Breakfast Tea</v>
      </c>
      <c r="C21" s="49" t="str">
        <f>'Menu Master'!C33</f>
        <v>Beverage</v>
      </c>
      <c r="D21" s="26">
        <f>'Daily Sales'!AK22</f>
        <v>74</v>
      </c>
      <c r="E21" s="25">
        <f>'Daily Sales'!D22</f>
        <v>70</v>
      </c>
      <c r="F21" s="25">
        <f>'Daily Sales'!E22</f>
        <v>6.25</v>
      </c>
      <c r="G21" s="51">
        <f t="shared" si="0"/>
        <v>8.9285714285714288E-2</v>
      </c>
      <c r="H21" s="19">
        <f t="shared" si="1"/>
        <v>63.75</v>
      </c>
      <c r="I21" s="56" t="str">
        <f t="shared" si="2"/>
        <v>High</v>
      </c>
      <c r="J21" s="39" t="str">
        <f t="shared" si="3"/>
        <v>PLOWHORSE</v>
      </c>
      <c r="K21" s="57" t="str">
        <f t="shared" si="4"/>
        <v>Popular but low margin — consider a small price increase or cheaper plating</v>
      </c>
      <c r="L21" s="19">
        <f t="shared" si="5"/>
        <v>5180</v>
      </c>
      <c r="M21" s="16">
        <f t="shared" si="6"/>
        <v>7</v>
      </c>
      <c r="N21" s="16">
        <f t="shared" si="7"/>
        <v>23</v>
      </c>
    </row>
    <row r="22" spans="1:14" x14ac:dyDescent="0.3">
      <c r="A22" s="49" t="str">
        <f>'Menu Master'!A34</f>
        <v>BM004</v>
      </c>
      <c r="B22" s="49" t="str">
        <f>'Menu Master'!B34</f>
        <v>Green Tea</v>
      </c>
      <c r="C22" s="49" t="str">
        <f>'Menu Master'!C34</f>
        <v>Beverage</v>
      </c>
      <c r="D22" s="26">
        <f>'Daily Sales'!AK23</f>
        <v>53</v>
      </c>
      <c r="E22" s="25">
        <f>'Daily Sales'!D23</f>
        <v>70</v>
      </c>
      <c r="F22" s="25">
        <f>'Daily Sales'!E23</f>
        <v>4</v>
      </c>
      <c r="G22" s="51">
        <f t="shared" si="0"/>
        <v>5.7142857142857141E-2</v>
      </c>
      <c r="H22" s="19">
        <f t="shared" si="1"/>
        <v>66</v>
      </c>
      <c r="I22" s="56" t="str">
        <f t="shared" si="2"/>
        <v>Low</v>
      </c>
      <c r="J22" s="39" t="str">
        <f t="shared" si="3"/>
        <v>DOG</v>
      </c>
      <c r="K22" s="57" t="str">
        <f t="shared" si="4"/>
        <v>Re-engineer, reprice or remove</v>
      </c>
      <c r="L22" s="19">
        <f t="shared" si="5"/>
        <v>3710</v>
      </c>
      <c r="M22" s="16">
        <f t="shared" si="6"/>
        <v>12</v>
      </c>
      <c r="N22" s="16">
        <f t="shared" si="7"/>
        <v>24</v>
      </c>
    </row>
    <row r="23" spans="1:14" x14ac:dyDescent="0.3">
      <c r="A23" s="49" t="str">
        <f>'Menu Master'!A36</f>
        <v>BM005</v>
      </c>
      <c r="B23" s="49" t="str">
        <f>'Menu Master'!B36</f>
        <v>Hot Chocolate</v>
      </c>
      <c r="C23" s="49" t="str">
        <f>'Menu Master'!C36</f>
        <v>Beverage</v>
      </c>
      <c r="D23" s="26">
        <f>'Daily Sales'!AK24</f>
        <v>52</v>
      </c>
      <c r="E23" s="25">
        <f>'Daily Sales'!D24</f>
        <v>100</v>
      </c>
      <c r="F23" s="25">
        <f>'Daily Sales'!E24</f>
        <v>23.5</v>
      </c>
      <c r="G23" s="51">
        <f t="shared" si="0"/>
        <v>0.23499999999999999</v>
      </c>
      <c r="H23" s="19">
        <f t="shared" si="1"/>
        <v>76.5</v>
      </c>
      <c r="I23" s="56" t="str">
        <f t="shared" si="2"/>
        <v>Low</v>
      </c>
      <c r="J23" s="39" t="str">
        <f t="shared" si="3"/>
        <v>DOG</v>
      </c>
      <c r="K23" s="57" t="str">
        <f t="shared" si="4"/>
        <v>Re-engineer, reprice or remove</v>
      </c>
      <c r="L23" s="19">
        <f t="shared" si="5"/>
        <v>5200</v>
      </c>
      <c r="M23" s="16">
        <f t="shared" si="6"/>
        <v>13</v>
      </c>
      <c r="N23" s="16">
        <f t="shared" si="7"/>
        <v>22</v>
      </c>
    </row>
    <row r="24" spans="1:14" x14ac:dyDescent="0.3">
      <c r="A24" s="49" t="str">
        <f>'Menu Master'!A38</f>
        <v>BM006</v>
      </c>
      <c r="B24" s="49" t="str">
        <f>'Menu Master'!B38</f>
        <v>Classic Mojito</v>
      </c>
      <c r="C24" s="49" t="str">
        <f>'Menu Master'!C38</f>
        <v>Beverage</v>
      </c>
      <c r="D24" s="26">
        <f>'Daily Sales'!AK25</f>
        <v>59</v>
      </c>
      <c r="E24" s="25">
        <f>'Daily Sales'!D25</f>
        <v>220</v>
      </c>
      <c r="F24" s="25">
        <f>'Daily Sales'!E25</f>
        <v>54.25</v>
      </c>
      <c r="G24" s="51">
        <f t="shared" si="0"/>
        <v>0.24659090909090908</v>
      </c>
      <c r="H24" s="19">
        <f t="shared" si="1"/>
        <v>165.75</v>
      </c>
      <c r="I24" s="56" t="str">
        <f t="shared" si="2"/>
        <v>Low</v>
      </c>
      <c r="J24" s="39" t="str">
        <f t="shared" si="3"/>
        <v>PUZZLE</v>
      </c>
      <c r="K24" s="57" t="str">
        <f t="shared" si="4"/>
        <v>Profitable but under-ordered — reposition on the menu or upsell it</v>
      </c>
      <c r="L24" s="19">
        <f t="shared" si="5"/>
        <v>12980</v>
      </c>
      <c r="M24" s="16">
        <f t="shared" si="6"/>
        <v>10</v>
      </c>
      <c r="N24" s="16">
        <f t="shared" si="7"/>
        <v>10</v>
      </c>
    </row>
    <row r="25" spans="1:14" x14ac:dyDescent="0.3">
      <c r="A25" s="49" t="str">
        <f>'Menu Master'!A39</f>
        <v>BM007</v>
      </c>
      <c r="B25" s="49" t="str">
        <f>'Menu Master'!B39</f>
        <v>Strawberry Mojito</v>
      </c>
      <c r="C25" s="49" t="str">
        <f>'Menu Master'!C39</f>
        <v>Beverage</v>
      </c>
      <c r="D25" s="26">
        <f>'Daily Sales'!AK26</f>
        <v>46</v>
      </c>
      <c r="E25" s="25">
        <f>'Daily Sales'!D26</f>
        <v>250</v>
      </c>
      <c r="F25" s="25">
        <f>'Daily Sales'!E26</f>
        <v>59.25</v>
      </c>
      <c r="G25" s="51">
        <f t="shared" si="0"/>
        <v>0.23699999999999999</v>
      </c>
      <c r="H25" s="19">
        <f t="shared" si="1"/>
        <v>190.75</v>
      </c>
      <c r="I25" s="56" t="str">
        <f t="shared" si="2"/>
        <v>Low</v>
      </c>
      <c r="J25" s="39" t="str">
        <f t="shared" si="3"/>
        <v>PUZZLE</v>
      </c>
      <c r="K25" s="57" t="str">
        <f t="shared" si="4"/>
        <v>Profitable but under-ordered — reposition on the menu or upsell it</v>
      </c>
      <c r="L25" s="19">
        <f t="shared" si="5"/>
        <v>11500</v>
      </c>
      <c r="M25" s="16">
        <f t="shared" si="6"/>
        <v>19</v>
      </c>
      <c r="N25" s="16">
        <f t="shared" si="7"/>
        <v>13</v>
      </c>
    </row>
    <row r="26" spans="1:14" x14ac:dyDescent="0.3">
      <c r="A26" s="49" t="str">
        <f>'Menu Master'!A41</f>
        <v>BM008</v>
      </c>
      <c r="B26" s="49" t="str">
        <f>'Menu Master'!B41</f>
        <v>Fresh Avocado Juice</v>
      </c>
      <c r="C26" s="49" t="str">
        <f>'Menu Master'!C41</f>
        <v>Beverage</v>
      </c>
      <c r="D26" s="26">
        <f>'Daily Sales'!AK27</f>
        <v>52</v>
      </c>
      <c r="E26" s="25">
        <f>'Daily Sales'!D27</f>
        <v>130</v>
      </c>
      <c r="F26" s="25">
        <f>'Daily Sales'!E27</f>
        <v>30.2</v>
      </c>
      <c r="G26" s="51">
        <f t="shared" si="0"/>
        <v>0.2323076923076923</v>
      </c>
      <c r="H26" s="19">
        <f t="shared" si="1"/>
        <v>99.8</v>
      </c>
      <c r="I26" s="56" t="str">
        <f t="shared" si="2"/>
        <v>Low</v>
      </c>
      <c r="J26" s="39" t="str">
        <f t="shared" si="3"/>
        <v>DOG</v>
      </c>
      <c r="K26" s="57" t="str">
        <f t="shared" si="4"/>
        <v>Re-engineer, reprice or remove</v>
      </c>
      <c r="L26" s="19">
        <f t="shared" si="5"/>
        <v>6760</v>
      </c>
      <c r="M26" s="16">
        <f t="shared" si="6"/>
        <v>13</v>
      </c>
      <c r="N26" s="16">
        <f t="shared" si="7"/>
        <v>20</v>
      </c>
    </row>
    <row r="27" spans="1:14" x14ac:dyDescent="0.3">
      <c r="A27" s="49" t="str">
        <f>'Menu Master'!A43</f>
        <v>BM009</v>
      </c>
      <c r="B27" s="49" t="str">
        <f>'Menu Master'!B43</f>
        <v>Coca-Cola</v>
      </c>
      <c r="C27" s="49" t="str">
        <f>'Menu Master'!C43</f>
        <v>Beverage</v>
      </c>
      <c r="D27" s="26">
        <f>'Daily Sales'!AK28</f>
        <v>103</v>
      </c>
      <c r="E27" s="25">
        <f>'Daily Sales'!D28</f>
        <v>70</v>
      </c>
      <c r="F27" s="25">
        <f>'Daily Sales'!E28</f>
        <v>35</v>
      </c>
      <c r="G27" s="51">
        <f t="shared" si="0"/>
        <v>0.5</v>
      </c>
      <c r="H27" s="19">
        <f t="shared" si="1"/>
        <v>35</v>
      </c>
      <c r="I27" s="56" t="str">
        <f t="shared" si="2"/>
        <v>High</v>
      </c>
      <c r="J27" s="39" t="str">
        <f t="shared" si="3"/>
        <v>PLOWHORSE</v>
      </c>
      <c r="K27" s="57" t="str">
        <f t="shared" si="4"/>
        <v>Popular but low margin — consider a small price increase or cheaper plating</v>
      </c>
      <c r="L27" s="19">
        <f t="shared" si="5"/>
        <v>7210</v>
      </c>
      <c r="M27" s="16">
        <f t="shared" si="6"/>
        <v>3</v>
      </c>
      <c r="N27" s="16">
        <f t="shared" si="7"/>
        <v>18</v>
      </c>
    </row>
    <row r="28" spans="1:14" x14ac:dyDescent="0.3">
      <c r="A28" s="49" t="str">
        <f>'Menu Master'!A45</f>
        <v>OM001</v>
      </c>
      <c r="B28" s="49" t="str">
        <f>'Menu Master'!B45</f>
        <v>Burger Takeaway Box</v>
      </c>
      <c r="C28" s="49" t="str">
        <f>'Menu Master'!C45</f>
        <v>To-Go Material</v>
      </c>
      <c r="D28" s="26">
        <f>'Daily Sales'!AK29</f>
        <v>29</v>
      </c>
      <c r="E28" s="25">
        <f>'Daily Sales'!D29</f>
        <v>10</v>
      </c>
      <c r="F28" s="25">
        <f>'Daily Sales'!E29</f>
        <v>8</v>
      </c>
      <c r="G28" s="51">
        <f t="shared" si="0"/>
        <v>0.8</v>
      </c>
      <c r="H28" s="19">
        <f t="shared" si="1"/>
        <v>2</v>
      </c>
      <c r="I28" s="56" t="str">
        <f t="shared" si="2"/>
        <v>Low</v>
      </c>
      <c r="J28" s="39" t="str">
        <f t="shared" si="3"/>
        <v>DOG</v>
      </c>
      <c r="K28" s="57" t="str">
        <f t="shared" si="4"/>
        <v>Re-engineer, reprice or remove</v>
      </c>
      <c r="L28" s="19">
        <f t="shared" si="5"/>
        <v>290</v>
      </c>
      <c r="M28" s="16">
        <f t="shared" si="6"/>
        <v>24</v>
      </c>
      <c r="N28" s="16">
        <f t="shared" si="7"/>
        <v>26</v>
      </c>
    </row>
    <row r="29" spans="1:14" x14ac:dyDescent="0.3">
      <c r="A29" s="49" t="str">
        <f>'Menu Master'!A46</f>
        <v>OM002</v>
      </c>
      <c r="B29" s="49" t="str">
        <f>'Menu Master'!B46</f>
        <v>Pizza Takeaway Box</v>
      </c>
      <c r="C29" s="49" t="str">
        <f>'Menu Master'!C46</f>
        <v>To-Go Material</v>
      </c>
      <c r="D29" s="26">
        <f>'Daily Sales'!AK30</f>
        <v>24</v>
      </c>
      <c r="E29" s="25">
        <f>'Daily Sales'!D30</f>
        <v>18</v>
      </c>
      <c r="F29" s="25">
        <f>'Daily Sales'!E30</f>
        <v>15</v>
      </c>
      <c r="G29" s="51">
        <f t="shared" si="0"/>
        <v>0.83333333333333337</v>
      </c>
      <c r="H29" s="19">
        <f t="shared" si="1"/>
        <v>3</v>
      </c>
      <c r="I29" s="56" t="str">
        <f t="shared" si="2"/>
        <v>Low</v>
      </c>
      <c r="J29" s="39" t="str">
        <f t="shared" si="3"/>
        <v>DOG</v>
      </c>
      <c r="K29" s="57" t="str">
        <f t="shared" si="4"/>
        <v>Re-engineer, reprice or remove</v>
      </c>
      <c r="L29" s="19">
        <f t="shared" si="5"/>
        <v>432</v>
      </c>
      <c r="M29" s="16">
        <f t="shared" si="6"/>
        <v>26</v>
      </c>
      <c r="N29" s="16">
        <f t="shared" si="7"/>
        <v>25</v>
      </c>
    </row>
  </sheetData>
  <mergeCells count="2">
    <mergeCell ref="A1:K1"/>
    <mergeCell ref="A2:K2"/>
  </mergeCells>
  <conditionalFormatting sqref="J4:J29">
    <cfRule type="cellIs" dxfId="3" priority="2" operator="equal">
      <formula>"STAR"</formula>
    </cfRule>
    <cfRule type="cellIs" dxfId="2" priority="3" operator="equal">
      <formula>"PLOWHORSE"</formula>
    </cfRule>
    <cfRule type="cellIs" dxfId="1" priority="4" operator="equal">
      <formula>"PUZZLE"</formula>
    </cfRule>
    <cfRule type="cellIs" dxfId="0" priority="5" operator="equal">
      <formula>"DOG"</formula>
    </cfRule>
  </conditionalFormatting>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7B34"/>
  </sheetPr>
  <dimension ref="A1:D48"/>
  <sheetViews>
    <sheetView showGridLines="0" zoomScaleNormal="100" workbookViewId="0"/>
  </sheetViews>
  <sheetFormatPr defaultColWidth="8.6640625" defaultRowHeight="14.4" x14ac:dyDescent="0.3"/>
  <cols>
    <col min="1" max="1" width="38" customWidth="1"/>
    <col min="2" max="2" width="18" customWidth="1"/>
  </cols>
  <sheetData>
    <row r="1" spans="1:4" ht="25.5" customHeight="1" x14ac:dyDescent="0.3">
      <c r="A1" s="14" t="s">
        <v>678</v>
      </c>
      <c r="B1" s="14"/>
      <c r="C1" s="14"/>
      <c r="D1" s="14"/>
    </row>
    <row r="2" spans="1:4" x14ac:dyDescent="0.3">
      <c r="A2" s="13" t="s">
        <v>679</v>
      </c>
      <c r="B2" s="13"/>
      <c r="C2" s="13"/>
      <c r="D2" s="13"/>
    </row>
    <row r="4" spans="1:4" ht="19.5" customHeight="1" x14ac:dyDescent="0.3">
      <c r="A4" s="12" t="s">
        <v>680</v>
      </c>
      <c r="B4" s="12"/>
    </row>
    <row r="5" spans="1:4" ht="30" customHeight="1" x14ac:dyDescent="0.3">
      <c r="A5" s="15" t="s">
        <v>646</v>
      </c>
      <c r="B5" s="15" t="s">
        <v>681</v>
      </c>
    </row>
    <row r="6" spans="1:4" x14ac:dyDescent="0.3">
      <c r="A6" s="16" t="s">
        <v>648</v>
      </c>
      <c r="B6" s="19">
        <f>'Daily Flash Cost'!AG4</f>
        <v>224090</v>
      </c>
    </row>
    <row r="7" spans="1:4" x14ac:dyDescent="0.3">
      <c r="A7" s="16" t="s">
        <v>682</v>
      </c>
      <c r="B7" s="19">
        <f>SUMPRODUCT((LEFT('Store Inventory'!$A$4:$A$41,2)="FD")*('Store Inventory'!$G$4:$G$41))</f>
        <v>154325</v>
      </c>
    </row>
    <row r="8" spans="1:4" x14ac:dyDescent="0.3">
      <c r="A8" s="16" t="s">
        <v>683</v>
      </c>
      <c r="B8" s="19">
        <f>SUMPRODUCT((LEFT('Store Issue'!$A$5:$A$42,2)="FD")*('Store Issue'!$Q$5:$Q$42))</f>
        <v>75053.372549019608</v>
      </c>
    </row>
    <row r="9" spans="1:4" x14ac:dyDescent="0.3">
      <c r="A9" s="16" t="s">
        <v>684</v>
      </c>
      <c r="B9" s="20">
        <v>0</v>
      </c>
    </row>
    <row r="10" spans="1:4" x14ac:dyDescent="0.3">
      <c r="A10" s="28" t="s">
        <v>685</v>
      </c>
      <c r="B10" s="30">
        <f>B7+B8+B9</f>
        <v>229378.37254901961</v>
      </c>
    </row>
    <row r="11" spans="1:4" x14ac:dyDescent="0.3">
      <c r="A11" s="16" t="s">
        <v>686</v>
      </c>
      <c r="B11" s="19">
        <f>SUMPRODUCT((LEFT('Kitchen &amp; Bar Receiving'!$A$5:$A$42,2)="FD")*('Kitchen &amp; Bar Receiving'!$R$5:$R$42))</f>
        <v>75053.372549019608</v>
      </c>
    </row>
    <row r="12" spans="1:4" x14ac:dyDescent="0.3">
      <c r="A12" s="28" t="s">
        <v>687</v>
      </c>
      <c r="B12" s="30">
        <f>B10-B11</f>
        <v>154325</v>
      </c>
    </row>
    <row r="13" spans="1:4" x14ac:dyDescent="0.3">
      <c r="A13" s="16" t="s">
        <v>660</v>
      </c>
      <c r="B13" s="19">
        <f>SUMIF(Wastage!$E:$E,"Food",Wastage!$I:$I)</f>
        <v>154.5</v>
      </c>
    </row>
    <row r="14" spans="1:4" x14ac:dyDescent="0.3">
      <c r="A14" s="16" t="s">
        <v>688</v>
      </c>
      <c r="B14" s="19">
        <f>SUMIF(Complementary!$G:$G,"Food",Complementary!$L:$L)</f>
        <v>0</v>
      </c>
    </row>
    <row r="15" spans="1:4" x14ac:dyDescent="0.3">
      <c r="A15" s="16" t="s">
        <v>689</v>
      </c>
      <c r="B15" s="19">
        <f>SUM('Daily Staff Meal'!$H:$H)</f>
        <v>1188</v>
      </c>
    </row>
    <row r="16" spans="1:4" x14ac:dyDescent="0.3">
      <c r="A16" s="16" t="s">
        <v>690</v>
      </c>
      <c r="B16" s="19">
        <f>SUMPRODUCT((LEFT('Inventory Variance'!$A$4:$A$41,2)="FD")*('Inventory Variance'!$I$4:$I$41))</f>
        <v>7098.7156862745096</v>
      </c>
    </row>
    <row r="17" spans="1:2" x14ac:dyDescent="0.3">
      <c r="A17" s="28" t="s">
        <v>691</v>
      </c>
      <c r="B17" s="30">
        <f>B12+B13+B14+B15+B16</f>
        <v>162766.21568627452</v>
      </c>
    </row>
    <row r="18" spans="1:2" x14ac:dyDescent="0.3">
      <c r="A18" s="28" t="s">
        <v>692</v>
      </c>
      <c r="B18" s="30">
        <f>B6-B17</f>
        <v>61323.784313725482</v>
      </c>
    </row>
    <row r="19" spans="1:2" x14ac:dyDescent="0.3">
      <c r="A19" s="28" t="s">
        <v>665</v>
      </c>
      <c r="B19" s="58">
        <f>IFERROR(B17/B6,0)</f>
        <v>0.72634305719253212</v>
      </c>
    </row>
    <row r="20" spans="1:2" x14ac:dyDescent="0.3">
      <c r="A20" s="28" t="s">
        <v>693</v>
      </c>
      <c r="B20" s="58">
        <f>IFERROR(B18/B6,0)</f>
        <v>0.27365694280746788</v>
      </c>
    </row>
    <row r="22" spans="1:2" ht="19.5" customHeight="1" x14ac:dyDescent="0.3">
      <c r="A22" s="12" t="s">
        <v>694</v>
      </c>
      <c r="B22" s="12"/>
    </row>
    <row r="23" spans="1:2" ht="30" customHeight="1" x14ac:dyDescent="0.3">
      <c r="A23" s="15" t="s">
        <v>646</v>
      </c>
      <c r="B23" s="15" t="s">
        <v>681</v>
      </c>
    </row>
    <row r="24" spans="1:2" x14ac:dyDescent="0.3">
      <c r="A24" s="16" t="s">
        <v>649</v>
      </c>
      <c r="B24" s="19">
        <f>'Daily Flash Cost'!AG5</f>
        <v>82140</v>
      </c>
    </row>
    <row r="25" spans="1:2" x14ac:dyDescent="0.3">
      <c r="A25" s="16" t="s">
        <v>695</v>
      </c>
      <c r="B25" s="19">
        <f>SUMPRODUCT((LEFT('Store Inventory'!$A$4:$A$41,2)="BV")*('Store Inventory'!$G$4:$G$41))</f>
        <v>54685</v>
      </c>
    </row>
    <row r="26" spans="1:2" x14ac:dyDescent="0.3">
      <c r="A26" s="16" t="s">
        <v>696</v>
      </c>
      <c r="B26" s="19">
        <f>SUMPRODUCT((LEFT('Store Issue'!$A$5:$A$42,2)="BV")*('Store Issue'!$Q$5:$Q$42))</f>
        <v>32504.23076923077</v>
      </c>
    </row>
    <row r="27" spans="1:2" x14ac:dyDescent="0.3">
      <c r="A27" s="16" t="s">
        <v>697</v>
      </c>
      <c r="B27" s="20">
        <v>0</v>
      </c>
    </row>
    <row r="28" spans="1:2" x14ac:dyDescent="0.3">
      <c r="A28" s="28" t="s">
        <v>698</v>
      </c>
      <c r="B28" s="30">
        <f>B25+B26+B27</f>
        <v>87189.230769230766</v>
      </c>
    </row>
    <row r="29" spans="1:2" x14ac:dyDescent="0.3">
      <c r="A29" s="16" t="s">
        <v>699</v>
      </c>
      <c r="B29" s="19">
        <f>SUMPRODUCT((LEFT('Kitchen &amp; Bar Receiving'!$A$5:$A$42,2)="BV")*('Kitchen &amp; Bar Receiving'!$R$5:$R$42))</f>
        <v>32504.23076923077</v>
      </c>
    </row>
    <row r="30" spans="1:2" x14ac:dyDescent="0.3">
      <c r="A30" s="28" t="s">
        <v>700</v>
      </c>
      <c r="B30" s="30">
        <f>B28-B29</f>
        <v>54685</v>
      </c>
    </row>
    <row r="31" spans="1:2" x14ac:dyDescent="0.3">
      <c r="A31" s="16" t="s">
        <v>661</v>
      </c>
      <c r="B31" s="19">
        <f>SUMIF(Wastage!$E:$E,"Beverage",Wastage!$I:$I)</f>
        <v>65</v>
      </c>
    </row>
    <row r="32" spans="1:2" x14ac:dyDescent="0.3">
      <c r="A32" s="16" t="s">
        <v>701</v>
      </c>
      <c r="B32" s="19">
        <f>SUMIF(Complementary!$G:$G,"Beverage",Complementary!$L:$L)</f>
        <v>32.4</v>
      </c>
    </row>
    <row r="33" spans="1:2" x14ac:dyDescent="0.3">
      <c r="A33" s="16" t="s">
        <v>702</v>
      </c>
      <c r="B33" s="20">
        <v>0</v>
      </c>
    </row>
    <row r="34" spans="1:2" x14ac:dyDescent="0.3">
      <c r="A34" s="16" t="s">
        <v>703</v>
      </c>
      <c r="B34" s="19">
        <f>SUMPRODUCT((LEFT('Inventory Variance'!$A$4:$A$41,2)="BV")*('Inventory Variance'!$I$4:$I$41))</f>
        <v>-11695.865384615385</v>
      </c>
    </row>
    <row r="35" spans="1:2" x14ac:dyDescent="0.3">
      <c r="A35" s="28" t="s">
        <v>704</v>
      </c>
      <c r="B35" s="30">
        <f>B30+B31+B32+B33+B34</f>
        <v>43086.534615384619</v>
      </c>
    </row>
    <row r="36" spans="1:2" x14ac:dyDescent="0.3">
      <c r="A36" s="28" t="s">
        <v>705</v>
      </c>
      <c r="B36" s="30">
        <f>B24-B35</f>
        <v>39053.465384615381</v>
      </c>
    </row>
    <row r="37" spans="1:2" x14ac:dyDescent="0.3">
      <c r="A37" s="28" t="s">
        <v>666</v>
      </c>
      <c r="B37" s="58">
        <f>IFERROR(B35/B24,0)</f>
        <v>0.52454997096888989</v>
      </c>
    </row>
    <row r="38" spans="1:2" x14ac:dyDescent="0.3">
      <c r="A38" s="28" t="s">
        <v>706</v>
      </c>
      <c r="B38" s="58">
        <f>IFERROR(B36/B24,0)</f>
        <v>0.47545002903111006</v>
      </c>
    </row>
    <row r="40" spans="1:2" ht="19.5" customHeight="1" x14ac:dyDescent="0.3">
      <c r="A40" s="12" t="s">
        <v>707</v>
      </c>
      <c r="B40" s="12"/>
    </row>
    <row r="41" spans="1:2" ht="30" customHeight="1" x14ac:dyDescent="0.3">
      <c r="A41" s="15" t="s">
        <v>646</v>
      </c>
      <c r="B41" s="15" t="s">
        <v>681</v>
      </c>
    </row>
    <row r="42" spans="1:2" x14ac:dyDescent="0.3">
      <c r="A42" s="28" t="s">
        <v>708</v>
      </c>
      <c r="B42" s="30">
        <f>B6+B24</f>
        <v>306230</v>
      </c>
    </row>
    <row r="43" spans="1:2" x14ac:dyDescent="0.3">
      <c r="A43" s="28" t="s">
        <v>709</v>
      </c>
      <c r="B43" s="30">
        <f>B17+B35</f>
        <v>205852.75030165914</v>
      </c>
    </row>
    <row r="44" spans="1:2" x14ac:dyDescent="0.3">
      <c r="A44" s="28" t="s">
        <v>710</v>
      </c>
      <c r="B44" s="30">
        <f>B42-B43</f>
        <v>100377.24969834086</v>
      </c>
    </row>
    <row r="45" spans="1:2" x14ac:dyDescent="0.3">
      <c r="A45" s="28" t="s">
        <v>711</v>
      </c>
      <c r="B45" s="58">
        <f>IFERROR(B17/B42,0)</f>
        <v>0.53151623187236563</v>
      </c>
    </row>
    <row r="46" spans="1:2" x14ac:dyDescent="0.3">
      <c r="A46" s="28" t="s">
        <v>712</v>
      </c>
      <c r="B46" s="58">
        <f>IFERROR(B35/B42,0)</f>
        <v>0.1406999138405271</v>
      </c>
    </row>
    <row r="47" spans="1:2" x14ac:dyDescent="0.3">
      <c r="A47" s="28" t="s">
        <v>667</v>
      </c>
      <c r="B47" s="58">
        <f>IFERROR(B43/B42,0)</f>
        <v>0.67221614571289268</v>
      </c>
    </row>
    <row r="48" spans="1:2" x14ac:dyDescent="0.3">
      <c r="A48" s="28" t="s">
        <v>713</v>
      </c>
      <c r="B48" s="58">
        <f>IFERROR(B44/B42,0)</f>
        <v>0.32778385428710727</v>
      </c>
    </row>
  </sheetData>
  <mergeCells count="5">
    <mergeCell ref="A1:D1"/>
    <mergeCell ref="A2:D2"/>
    <mergeCell ref="A4:B4"/>
    <mergeCell ref="A22:B22"/>
    <mergeCell ref="A40:B4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Executive Dashboard</vt:lpstr>
      <vt:lpstr>Overview</vt:lpstr>
      <vt:lpstr>Item Master</vt:lpstr>
      <vt:lpstr>Menu Master</vt:lpstr>
      <vt:lpstr>Recipe Master</vt:lpstr>
      <vt:lpstr>Sub-Recipe</vt:lpstr>
      <vt:lpstr>Purchase Register</vt:lpstr>
      <vt:lpstr>Store Receiving</vt:lpstr>
      <vt:lpstr>Store Inventory</vt:lpstr>
      <vt:lpstr>Store Issue</vt:lpstr>
      <vt:lpstr>Kitchen &amp; Bar Receiving</vt:lpstr>
      <vt:lpstr>Daily Inventory</vt:lpstr>
      <vt:lpstr>Semi-Finished Inventory</vt:lpstr>
      <vt:lpstr>Wastage</vt:lpstr>
      <vt:lpstr>Daily Void</vt:lpstr>
      <vt:lpstr>Complementary</vt:lpstr>
      <vt:lpstr>Daily Staff Meal</vt:lpstr>
      <vt:lpstr>Daily Sales</vt:lpstr>
      <vt:lpstr>Theoretical Consumption</vt:lpstr>
      <vt:lpstr>Inventory Variance</vt:lpstr>
      <vt:lpstr>Daily Flash Cost</vt:lpstr>
      <vt:lpstr>Menu Engineering</vt:lpstr>
      <vt:lpstr>Monthly Reconciliation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EYOB</cp:lastModifiedBy>
  <cp:revision>0</cp:revision>
  <dcterms:created xsi:type="dcterms:W3CDTF">2026-07-28T09:58:30Z</dcterms:created>
  <dcterms:modified xsi:type="dcterms:W3CDTF">2026-08-03T08:13:10Z</dcterms:modified>
  <dc:language>en-US</dc:language>
</cp:coreProperties>
</file>